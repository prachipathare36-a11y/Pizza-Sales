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xr:revisionPtr revIDLastSave="0" documentId="8_{DBEF55D9-C92D-AB42-B090-2F24743B5E86}" xr6:coauthVersionLast="47" xr6:coauthVersionMax="47" xr10:uidLastSave="{00000000-0000-0000-0000-000000000000}"/>
  <bookViews>
    <workbookView xWindow="0" yWindow="0" windowWidth="16384" windowHeight="8192" tabRatio="500" xr2:uid="{00000000-000D-0000-FFFF-FFFF00000000}"/>
  </bookViews>
  <sheets>
    <sheet name="📊 Raw Dataset" sheetId="1" r:id="rId1"/>
    <sheet name="📝 Question Paper" sheetId="2" r:id="rId2"/>
    <sheet name="✍ Answer Sheet" sheetId="3" r:id="rId3"/>
    <sheet name="📋 Qualitative Analysis" sheetId="4" r:id="rId4"/>
    <sheet name="🎯 Marking Scheme" sheetId="5" r:id="rId5"/>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6" i="3" l="1"/>
  <c r="C46" i="3"/>
  <c r="E46" i="3"/>
  <c r="B46" i="3"/>
  <c r="D45" i="3"/>
  <c r="C45" i="3"/>
  <c r="E45" i="3"/>
  <c r="B45" i="3"/>
  <c r="D44" i="3"/>
  <c r="C44" i="3"/>
  <c r="E44" i="3"/>
  <c r="B44" i="3"/>
  <c r="D43" i="3"/>
  <c r="C43" i="3"/>
  <c r="E43" i="3"/>
  <c r="B43" i="3"/>
  <c r="D42" i="3"/>
  <c r="C42" i="3"/>
  <c r="E42" i="3"/>
  <c r="B42" i="3"/>
  <c r="D41" i="3"/>
  <c r="C41" i="3"/>
  <c r="E41" i="3"/>
  <c r="B41" i="3"/>
  <c r="D40" i="3"/>
  <c r="C40" i="3"/>
  <c r="E40" i="3"/>
  <c r="B40" i="3"/>
  <c r="D39" i="3"/>
  <c r="C39" i="3"/>
  <c r="E39" i="3"/>
  <c r="B39" i="3"/>
  <c r="B35" i="3"/>
  <c r="N11" i="1"/>
  <c r="B34" i="3"/>
  <c r="N10" i="1"/>
  <c r="B33" i="3"/>
  <c r="N8" i="1"/>
  <c r="B31" i="3"/>
  <c r="N7" i="1"/>
  <c r="B30" i="3"/>
  <c r="B32" i="3"/>
  <c r="N9" i="1"/>
  <c r="C26" i="3"/>
  <c r="B26" i="3"/>
  <c r="E26" i="3"/>
  <c r="D26" i="3"/>
  <c r="C25" i="3"/>
  <c r="B25" i="3"/>
  <c r="E25" i="3"/>
  <c r="D25" i="3"/>
  <c r="C24" i="3"/>
  <c r="B24" i="3"/>
  <c r="E24" i="3"/>
  <c r="D24" i="3"/>
  <c r="C23" i="3"/>
  <c r="B23" i="3"/>
  <c r="E23" i="3"/>
  <c r="D23" i="3"/>
  <c r="N13" i="1"/>
  <c r="C19" i="3"/>
  <c r="B19" i="3"/>
  <c r="E19" i="3"/>
  <c r="C18" i="3"/>
  <c r="N6" i="1"/>
  <c r="B18" i="3"/>
  <c r="E18" i="3"/>
  <c r="C17" i="3"/>
  <c r="B17" i="3"/>
  <c r="E17" i="3"/>
  <c r="B13" i="3"/>
  <c r="N12" i="1"/>
  <c r="B12" i="3"/>
  <c r="D13" i="3"/>
  <c r="C13" i="3"/>
  <c r="B11" i="3"/>
  <c r="D12" i="3"/>
  <c r="C12" i="3"/>
  <c r="B10" i="3"/>
  <c r="D11" i="3"/>
  <c r="C11" i="3"/>
  <c r="B9" i="3"/>
  <c r="D10" i="3"/>
  <c r="C10" i="3"/>
  <c r="B8" i="3"/>
  <c r="D9" i="3"/>
  <c r="C9" i="3"/>
  <c r="B7" i="3"/>
  <c r="D8" i="3"/>
  <c r="C8" i="3"/>
  <c r="B6" i="3"/>
  <c r="D7" i="3"/>
  <c r="C7" i="3"/>
</calcChain>
</file>

<file path=xl/sharedStrings.xml><?xml version="1.0" encoding="utf-8"?>
<sst xmlns="http://schemas.openxmlformats.org/spreadsheetml/2006/main" count="276" uniqueCount="261">
  <si>
    <t>PIZZA SALES DATASET — MONTHLY REVENUE (2018–2025)  |  India Market</t>
  </si>
  <si>
    <t>Units: Revenue in ₹ (Thousands)  |  Includes COVID-19 Impact: 2020 Lockdown 1.0 &amp; 2021 Second Wave (Delta)  |  2022 Omicron partial impact</t>
  </si>
  <si>
    <t>🔴 RED = Lockdown/Severely impacted months  |  🟡 YELLOW = Partial unlock/recovery  |  🟢 GREEN = Recovery to pre-COVID levels</t>
  </si>
  <si>
    <t>Year</t>
  </si>
  <si>
    <t>Jan</t>
  </si>
  <si>
    <t>Feb</t>
  </si>
  <si>
    <t>Mar</t>
  </si>
  <si>
    <t>Apr</t>
  </si>
  <si>
    <t>May</t>
  </si>
  <si>
    <t>Jun</t>
  </si>
  <si>
    <t>Jul</t>
  </si>
  <si>
    <t>Aug</t>
  </si>
  <si>
    <t>Sep</t>
  </si>
  <si>
    <t>Oct</t>
  </si>
  <si>
    <t>Nov</t>
  </si>
  <si>
    <t>Dec</t>
  </si>
  <si>
    <t>Annual Total</t>
  </si>
  <si>
    <t>📌 KEY EVENTS: Mar 2020 — Janata Curfew &amp; start of lockdown | Apr–May 2020 — National Lockdown 1.0 (dine-in = ₹0) | Apr–May 2021 — Delta Second Wave, state-level lockdowns | Jan 2022 — Omicron wave scare, reduced footfall | Mar 2022 onwards — Full unlock</t>
  </si>
  <si>
    <t>PIZZA SALES ANALYSIS — ASSESSMENT PAPER  |  India Market (2018–2025)</t>
  </si>
  <si>
    <t>Duration: 90 Minutes  |  Total Marks: 100  |  Dataset: '📊 Raw Dataset' Sheet  |  All calculations MUST use Excel formulas — no hardcoded values</t>
  </si>
  <si>
    <t>CONTEXT: Data reflects real India market conditions — National Lockdown 1.0 (Apr–May 2020), Delta Second Wave (Apr–May 2021), and Omicron scare (Jan 2022). Factor these events into your analysis.</t>
  </si>
  <si>
    <t xml:space="preserve">  PART A — QUANTITATIVE ANALYSIS  (Excel Formulas Required)  [60 Marks]</t>
  </si>
  <si>
    <t>Q1.</t>
  </si>
  <si>
    <t>Calculate the Month-on-Month (MoM) % change for every month from Feb 2018 to Dec 2025 using: ((Current – Previous) / Previous) × 100. Identify the single largest MoM drop and largest MoM recovery in the entire dataset.</t>
  </si>
  <si>
    <t>[8 Marks]</t>
  </si>
  <si>
    <t>Q2.</t>
  </si>
  <si>
    <t>Calculate Year-on-Year (YoY) Annual Growth Rate for each year (2019–2025) using Annual Totals. Clearly identify: (a) which years show NEGATIVE growth, (b) the best recovery year, and (c) the worst impacted year.</t>
  </si>
  <si>
    <t>Q3.</t>
  </si>
  <si>
    <t>Compute the CAGR of pizza sales from 2018 to 2025 using: CAGR = (End Value / Start Value)^(1/n) – 1. Then separately compute the CAGR for the PRE-COVID period (2018–2019) and POST-COVID recovery period (2022–2025). Compare and interpret.</t>
  </si>
  <si>
    <t>[7 Marks]</t>
  </si>
  <si>
    <t>Q4.</t>
  </si>
  <si>
    <t>COVID DEPTH ANALYSIS: Compare Apr–May 2020 (Lockdown 1.0) vs Apr–May 2019 (normal). Calculate: (a) absolute sales drop, (b) % decline, (c) estimated revenue lost assuming 2019 levels had continued.</t>
  </si>
  <si>
    <t>Q5.</t>
  </si>
  <si>
    <t>SECOND WAVE ANALYSIS: Compare Apr–May 2021 vs Apr–May 2020. Was the second wave worse or better than the first in sales terms? Calculate the % difference and give a reason for your finding.</t>
  </si>
  <si>
    <t>[6 Marks]</t>
  </si>
  <si>
    <t>Q6.</t>
  </si>
  <si>
    <t>Calculate the RECOVERY RATE: Define recovery as the year when Annual Total first exceeded 2019's Annual Total. Compute: (2019 Total – Lowest COVID Year Total) / 2019 Total × 100 to find the depth of trough, and the number of years taken to recover.</t>
  </si>
  <si>
    <t>[5 Marks]</t>
  </si>
  <si>
    <t>Q7.</t>
  </si>
  <si>
    <t>Calculate the monthly Seasonal Index for each of the 12 months (average of all 8 years / overall monthly average × 100). Note: COVID months WILL distort this — compute a 'cleaned' seasonal index EXCLUDING 2020 and 2021 data and compare both.</t>
  </si>
  <si>
    <t>Q8.</t>
  </si>
  <si>
    <t>Compute the Standard Deviation (STDEV) of monthly sales for each year. Which year was most volatile? Explain WHY 2020 and 2021 have the highest standard deviation in the context of India's lockdown pattern.</t>
  </si>
  <si>
    <t>Q9.</t>
  </si>
  <si>
    <t>Each year's share (%) of Total 8-Year Grand Sales: (Year Total / Grand Total) × 100. Identify which COVID years show a significantly lower share and what the combined revenue loss (vs projected growth) was.</t>
  </si>
  <si>
    <t>Q10.</t>
  </si>
  <si>
    <t>3-Month Moving Average: Calculate for the full timeline Jan 2018 – Dec 2025. Identify where the moving average shows the steepest decline (COVID) and the steepest sustained rise (post-COVID boom).</t>
  </si>
  <si>
    <t>[3 Marks]</t>
  </si>
  <si>
    <t xml:space="preserve">  PART B — EXCEL SKILLS  (Charts, Functions &amp; Formatting)  [25 Marks]</t>
  </si>
  <si>
    <t>Q11.</t>
  </si>
  <si>
    <t>LINE CHART — Annual Total Sales 2018–2025: Add title, axis labels, data labels. Highlight 2020 and 2021 bars/points in RED to show COVID impact years. Add an annotation arrow pointing to the 'V-shaped recovery' from 2022 onwards.</t>
  </si>
  <si>
    <t>Q12.</t>
  </si>
  <si>
    <t>CLUSTERED BAR CHART — Compare H1 (Jan–Jun) vs H2 (Jul–Dec) sales for each year. This should visually show how H1 was devastated in 2020 and 2021 while H2 partially recovered each year.</t>
  </si>
  <si>
    <t>Q13.</t>
  </si>
  <si>
    <t>CONDITIONAL FORMATTING on Raw Dataset: 🔴 Red fill = sales below 200 (severe lockdown), 🟡 Yellow = 200–500 (impacted), 🟢 Green = above 900 (healthy). Apply to all 96 monthly data cells.</t>
  </si>
  <si>
    <t>Q14.</t>
  </si>
  <si>
    <t>SUMMARY TABLE using formulas (SUMIF / AVERAGEIF / MAX / MIN) for each year: Annual Total, Monthly Average, Best Month (value + name), Worst Month (value + name), Half-Year H1 vs H2 split.</t>
  </si>
  <si>
    <t xml:space="preserve">  PART C — QUALITATIVE ANALYSIS  (Written in Answer Sheet)  [15 Marks]</t>
  </si>
  <si>
    <t>Q15.</t>
  </si>
  <si>
    <t>TREND ANALYSIS (8–10 lines): Describe the overall sales trajectory 2018–2025. Mandatory references: (a) the exact Apr 2020 figure, (b) the YoY decline % in 2020, (c) which year sales first crossed 2019 levels again, and (d) the post-2022 growth rate.</t>
  </si>
  <si>
    <t>Q16.</t>
  </si>
  <si>
    <t>BUSINESS STRATEGY REPORT (10–12 lines): As a consultant to a pizza chain owner in India, what 5 concrete recommendations would you make? Base each recommendation on specific data patterns from the dataset — seasonal, COVID impact, recovery speed.</t>
  </si>
  <si>
    <t>Q17.</t>
  </si>
  <si>
    <t>RISK &amp; OPPORTUNITY ASSESSMENT (6–8 lines): Identify 3 risks and 3 opportunities visible in the data, with specific reference to months, years, or % figures from the dataset.</t>
  </si>
  <si>
    <t>[4 Marks]</t>
  </si>
  <si>
    <t>MODEL ANSWER SHEET — PIZZA SALES QUANTITATIVE ANALYSIS (India, 2018–2025)</t>
  </si>
  <si>
    <t>All values via Excel formulas referencing '📊 Raw Dataset' | Green text = formula | Note: COVID distortion acknowledged in all COVID-era calculations</t>
  </si>
  <si>
    <t xml:space="preserve">  Q2 — YEAR-ON-YEAR (YoY) GROWTH RATE WITH COVID CONTEXT</t>
  </si>
  <si>
    <t>Annual Total (₹K)</t>
  </si>
  <si>
    <t>YoY Change (₹K)</t>
  </si>
  <si>
    <t>YoY Growth %</t>
  </si>
  <si>
    <t>COVID Context / Remark</t>
  </si>
  <si>
    <t>—</t>
  </si>
  <si>
    <t>Base Year</t>
  </si>
  <si>
    <t>✅ Baseline Year</t>
  </si>
  <si>
    <t>✅ Pre-COVID Peak</t>
  </si>
  <si>
    <t>🔴 Lockdown 1.0 — National shutdown Apr–May. Dine-in = ₹0</t>
  </si>
  <si>
    <t>🔴 Delta 2nd Wave — Apr–May 2021 crash worse than 2020 in some states</t>
  </si>
  <si>
    <t>🟡 Omicron scare Jan 2022, gradual unlock H2. Near-recovery year</t>
  </si>
  <si>
    <t>✅ Full Recovery + Growth. Delivery-first boom.</t>
  </si>
  <si>
    <t>✅ Premiumisation era. Tier 2 expansion.</t>
  </si>
  <si>
    <t>🏆 Peak Year. Cloud kitchens + delivery maturity.</t>
  </si>
  <si>
    <t xml:space="preserve">  Q3 — CAGR ANALYSIS: FULL PERIOD, PRE-COVID &amp; POST-COVID RECOVERY</t>
  </si>
  <si>
    <t>Period</t>
  </si>
  <si>
    <t>Start Value (₹K)</t>
  </si>
  <si>
    <t>End Value (₹K)</t>
  </si>
  <si>
    <t>Years (n)</t>
  </si>
  <si>
    <t>CAGR %</t>
  </si>
  <si>
    <t>Interpretation</t>
  </si>
  <si>
    <t>Full Period CAGR (2018→2025)</t>
  </si>
  <si>
    <t>Blended rate — COVID years drag this down vs pre-COVID trajectory</t>
  </si>
  <si>
    <t>Pre-COVID CAGR (2018→2019)</t>
  </si>
  <si>
    <t>Strong organic growth before COVID disruption</t>
  </si>
  <si>
    <t>Post-COVID Recovery (2022→2025)</t>
  </si>
  <si>
    <t>Strong rebound — delivery-first + post-lockdown pent-up demand</t>
  </si>
  <si>
    <t xml:space="preserve">  Q4 &amp; Q5 — COVID DEPTH: LOCKDOWN 1.0 vs SECOND WAVE COMPARISON</t>
  </si>
  <si>
    <t>2019 Sales (₹K)</t>
  </si>
  <si>
    <t>Impacted Year Sales (₹K)</t>
  </si>
  <si>
    <t>Absolute Drop (₹K)</t>
  </si>
  <si>
    <t>% Decline</t>
  </si>
  <si>
    <t>Context</t>
  </si>
  <si>
    <t>Apr–May 2020 vs 2019 (Lockdown 1.0)</t>
  </si>
  <si>
    <t>Full national lockdown — dine-in banned, limited delivery</t>
  </si>
  <si>
    <t>Apr–May 2021 vs 2019 (2nd Wave)</t>
  </si>
  <si>
    <t>Delta wave — state lockdowns (MH, DL, UP). Worse fear factor</t>
  </si>
  <si>
    <t>Full Year 2020 vs 2019</t>
  </si>
  <si>
    <t>Full COVID year impact — largest annual decline</t>
  </si>
  <si>
    <t>Full Year 2021 vs 2019</t>
  </si>
  <si>
    <t>2nd wave year — still below 2019 despite partial recovery</t>
  </si>
  <si>
    <t xml:space="preserve">  Q6 — RECOVERY RATE ANALYSIS</t>
  </si>
  <si>
    <t>Metric</t>
  </si>
  <si>
    <t>Value / Formula</t>
  </si>
  <si>
    <t>2019 Annual Total (Pre-COVID Benchmark)</t>
  </si>
  <si>
    <t>Target benchmark for full recovery</t>
  </si>
  <si>
    <t>Lowest COVID Year Total (2020)</t>
  </si>
  <si>
    <t>Trough of the pandemic crisis</t>
  </si>
  <si>
    <t>Trough Depth % below 2019</t>
  </si>
  <si>
    <t>How deeply sales fell at worst</t>
  </si>
  <si>
    <t>2022 Annual Total</t>
  </si>
  <si>
    <t>Near-recovery — Omicron year</t>
  </si>
  <si>
    <t>2023 Annual Total (First Recovery Year)</t>
  </si>
  <si>
    <t>First year to EXCEED 2019 levels ✅</t>
  </si>
  <si>
    <t>Years to Full Recovery</t>
  </si>
  <si>
    <t>4 years from pre-COVID peak to full recovery</t>
  </si>
  <si>
    <t xml:space="preserve">  Q8 — STANDARD DEVIATION (Monthly Sales Volatility per Year)</t>
  </si>
  <si>
    <t>Std Dev (₹K)</t>
  </si>
  <si>
    <t>Min Month (₹K)</t>
  </si>
  <si>
    <t>Max Month (₹K)</t>
  </si>
  <si>
    <t>Range (₹K)</t>
  </si>
  <si>
    <t>Volatility Assessment</t>
  </si>
  <si>
    <t>Low — Stable growth, no disruptions</t>
  </si>
  <si>
    <t>Low — Consistent pre-COVID performance</t>
  </si>
  <si>
    <t>VERY HIGH ⚡ — Lockdown 1.0 caused near-zero Apr–May vs normal other months</t>
  </si>
  <si>
    <t>VERY HIGH ⚡ — 2nd wave crash Apr–May again vs recovery in H2</t>
  </si>
  <si>
    <t>HIGH — Omicron Jan scare vs gradual H2 recovery. Wide range.</t>
  </si>
  <si>
    <t>Moderate — Stable full recovery, less seasonal extremes</t>
  </si>
  <si>
    <t>Low-Moderate — Consistent growth trend</t>
  </si>
  <si>
    <t>Low — Mature market, predictable demand</t>
  </si>
  <si>
    <t>QUALITATIVE ANALYSIS — INDIA PIZZA MARKET (2018–2025) | COVID-19 IMPACT EDITION</t>
  </si>
  <si>
    <t>Comprehensive Business Intelligence Report accounting for National Lockdown 1.0 (2020), Delta Second Wave (2021), Omicron (2022), and Post-COVID Recovery Boom (2023–2025)</t>
  </si>
  <si>
    <t xml:space="preserve">  1. OVERALL TREND ANALYSIS — THE FULL PICTURE</t>
  </si>
  <si>
    <t>📈  PRE-COVID GROWTH (2018–2019): The India pizza market was on a healthy upward trajectory — Annual sales grew from ₹7,990K (2018) to approximately ₹8,721K (2019), a ~9% YoY growth. This growth was driven by increasing urbanisation, rising youth population, expansion of delivery aggregators like Swiggy and Zomato, and rapid growth of organised QSR chains like Domino's, Pizza Hut, and emerging local brands.</t>
  </si>
  <si>
    <t>🔴  LOCKDOWN 1.0 — CATASTROPHIC COLLAPSE (Apr–May 2020): India's National Lockdown 1.0 (announced March 24, 2020) caused the single most devastating crash in this dataset. April 2020 recorded just ₹95K — a 86% collapse from April 2019 (₹637K). May 2020 was ₹120K versus ₹702K in May 2019 — an 83% drop. Dine-in restaurants were completely shut. Only limited home delivery was permitted, and consumer fear, reduced income, and delivery infrastructure disruptions further suppressed even that channel.</t>
  </si>
  <si>
    <t>🟡  UNLOCK 1.0 AND GRADUAL RESTART (Jun–Dec 2020): As India began 'Unlock 1.0' in June 2020, sales began recovering but remained severely depressed. June 2020 saw ₹195K — roughly 25% of June 2019. By December 2020, sales had climbed to ₹520K — approximately 52% of December 2019's ₹994K. The H2 2020 recovery was driven by delivery normalisation and Diwali/festive season demand, but dine-in remained restricted throughout.</t>
  </si>
  <si>
    <t>🔴  SECOND WAVE — DELTA VARIANT DOUBLES DOWN (Apr–May 2021): Just as recovery was beginning, India's devastating Delta Second Wave (April–May 2021) struck. Maharashtra, Delhi, Uttar Pradesh and other key pizza markets re-imposed state-level lockdowns. April 2021 collapsed to ₹110K and May 2021 to ₹130K — comparable to or slightly worse than Lockdown 1.0 figures in absolute terms, and MORE damaging because businesses had already depleted their reserves during 2020.</t>
  </si>
  <si>
    <t>🟢  GRADUAL NORMALISATION (H2 2021 – 2022): The second half of 2021 saw a meaningful improvement — October to December 2021 (₹580K–₹710K) showed the festive season bringing consumers back. However, 2022 began cautiously with Omicron (January 2022: ₹295K — lowest non-lockdown figure) before a steady recovery through the year. By December 2022 (₹910K), sales were approaching but still below December 2019 levels.</t>
  </si>
  <si>
    <t>🚀  FULL RECOVERY AND BOOM (2023–2025): The year 2023 marked true recovery — Annual Total crossed and exceeded 2019 levels for the first time. This was driven by: (a) normalised dine-in, (b) permanently elevated food delivery adoption post-COVID, (c) expansion into Tier 2 cities, and (d) new post-pandemic consumer habits. 2024–2025 represent a new growth era with CAGR of 15–18% from the 2022 base.</t>
  </si>
  <si>
    <t xml:space="preserve">  2. COVID-19 IMPACT — INDIA-SPECIFIC ANALYSIS</t>
  </si>
  <si>
    <t>🏙️  WHY INDIA WAS PARTICULARLY AFFECTED: India's pizza market is concentrated in metro and Tier 1 cities (Mumbai, Delhi, Bengaluru, Hyderabad, Chennai, Kolkata). These cities were also the epicentres of both COVID waves — meaning the most pizza-consuming population was hit hardest and longest. Additionally, India had one of the strictest lockdown regimes globally in April–May 2020, with near-total restrictions on movement and economic activity.</t>
  </si>
  <si>
    <t>🚗  DELIVERY MODEL GAPS IN 2020: Unlike Western markets where food delivery infrastructure was already mature, Indian delivery networks in 2020 were partially constrained by: (a) containment zones blocking delivery personnel, (b) consumer fear of food safety, (c) supply chain disruptions for ingredients. This meant even the delivery channel could not compensate for dine-in loss — explaining why Apr–May 2020 figures are as low as ₹95–120K.</t>
  </si>
  <si>
    <t>💔  SECOND WAVE MORE FINANCIALLY DAMAGING DESPITE SIMILAR SALES FIGURES: While Apr–May 2021 sales (₹110K, ₹130K) are roughly similar to Apr–May 2020 (₹95K, ₹120K), the second wave was actually MORE financially damaging for pizza businesses. Reason: By 2021, businesses had already exhausted COVID reserves, taken on debt for survival, paid rent for 12+ months without revenue, and invested in delivery infrastructure — only to be hit again. Many locations permanently shut between waves.</t>
  </si>
  <si>
    <t>📱  SILVER LINING — DIGITAL ACCELERATION: COVID forced the QSR industry to digitise aggressively. Contactless ordering, QR-code menus, pre-paid online orders, and loyalty app adoption all accelerated by 3–5 years during the pandemic. This digital infrastructure is a key reason why 2023–2025 growth is FASTER than pre-COVID growth rates — the industry came out structurally stronger.</t>
  </si>
  <si>
    <t xml:space="preserve">  3. SEASONAL PATTERNS — WITH AND WITHOUT COVID DISTORTION</t>
  </si>
  <si>
    <t>📅  PRE-COVID SEASONAL PATTERN (2018–2019): Clear seasonality — December is the top month (₹920K–₹994K) driven by Christmas, New Year, and year-end corporate parties. July–August are strong (school holidays, summer outings). January–February are the weakest months (post-festive spending correction). This pattern is consistent and predictable.</t>
  </si>
  <si>
    <t>🦠  COVID DISRUPTED SEASONALITY (2020–2021): Lockdown months (Apr–May 2020, Apr–May 2021) obliterated normal seasonal patterns. April and May — which should be moderate months based on pre-COVID data — became the worst months in the dataset. Seasonal analysis for these years must be interpreted with the COVID lens rather than as genuine consumer preference shifts.</t>
  </si>
  <si>
    <t>🔄  POST-COVID SEASONALITY (2023–2025): The seasonal pattern has returned — but with a new element. October–November now shows stronger performance than pre-COVID, likely because consumers are 'making up' for missed celebrations. December remains the peak (₹1,150K–₹1,400K in 2023–2025). A new 'mini-peak' is emerging in March–April as travel and outdoor activity revives.</t>
  </si>
  <si>
    <t>📊  CLEANED SEASONAL INDEX RECOMMENDATION: For accurate business planning, candidates should compute Seasonal Index EXCLUDING 2020 and 2021, as those years represent extreme external shocks rather than consumer behaviour patterns. A cleaned seasonal index based on 2018–2019 and 2022–2025 provides the most reliable planning tool.</t>
  </si>
  <si>
    <t xml:space="preserve">  4. STRATEGIC RECOMMENDATIONS FOR AN INDIA PIZZA CHAIN OWNER</t>
  </si>
  <si>
    <t>1️⃣  BUILD A CRISIS CASH RESERVE (6-Month Operating Runway): The data proves that black-swan events can reduce revenue by 80–90% in a single month with zero warning. The April 2020 scenario (₹95K vs ₹637K in April 2019) should be the stress-test scenario for every pizza chain's financial planning. Maintaining a 6-month operating expense reserve is non-negotiable for survival in future disruptions.</t>
  </si>
  <si>
    <t>2️⃣  INVEST HEAVILY IN DELIVERY-FIRST INFRASTRUCTURE: Post-COVID data (2023–2025) shows that businesses with strong delivery channels recovered faster and grew beyond pre-COVID levels. Cloud kitchens, dark stores in high-density residential areas, and strong Zomato/Swiggy partnerships are not optional — they are the primary growth channel going forward.</t>
  </si>
  <si>
    <t>3️⃣  SEASONAL STAFFING &amp; INVENTORY MODEL: The December and July–August peaks are highly predictable. Building a seasonal workforce model — contract staff for peak months, reduced costs in Jan–Feb — can improve margin by 8–12%. Similarly, cheese and ingredient procurement should be forward-contracted for peak seasons to avoid supply shortages.</t>
  </si>
  <si>
    <t>4️⃣  TIER 2 CITY EXPANSION — THE NEXT GROWTH FRONTIER: The 2023–2025 growth rates (~15–18% annually) reflect both metro recovery AND Tier 2 city expansion. Cities like Jaipur, Lucknow, Indore, Coimbatore, and Surat now have the disposable income, smartphone penetration, and delivery infrastructure to support pizza QSR growth. First-mover advantage in these markets is significant.</t>
  </si>
  <si>
    <t>5️⃣  FESTIVE &amp; CORPORATE BULK ORDERS: The October–December quarter is consistently the strongest. Creating dedicated B2B corporate gifting packages (pizza party boxes for Diwali, Christmas, year-end celebrations) and institutional catering deals could add 15–20% incremental revenue during the already-strong festive season.</t>
  </si>
  <si>
    <t xml:space="preserve">  5. RISK ASSESSMENT — INDIA-SPECIFIC FACTORS</t>
  </si>
  <si>
    <t>⚠️  RISK 1 — PANDEMIC RECURRENCE: The dataset demonstrates two separate COVID-related crashes within 12 months (Apr–May 2020 and Apr–May 2021). Any future health emergency, epidemic, or government-mandated shutdown poses an existential risk to dine-in revenue. The mitigation is structural: maintain delivery dominance so that even a total dine-in ban does not cause 80%+ revenue collapse as seen in April 2020.</t>
  </si>
  <si>
    <t>⚠️  RISK 2 — INPUT COST INFLATION: Cheese (largely imported or from limited domestic suppliers), wheat flour, tomato paste, and delivery packaging costs are all subject to commodity price volatility. With margins already thin in the QSR segment, a 20–30% rise in input costs (as seen post-COVID globally) can turn profitable operations loss-making. Long-term supplier contracts and menu price revision strategies are essential.</t>
  </si>
  <si>
    <t>⚠️  RISK 3 — AGGREGATOR DEPENDENCY &amp; COMMISSION PRESSURE: The post-COVID growth (2023–2025) is partly driven by Zomato and Swiggy delivery volume — but these platforms charge 25–30% commission on orders. As delivery becomes a larger share of revenue, profitability is increasingly at the mercy of aggregator terms. Building a direct ordering app and loyalty program reduces this risk.</t>
  </si>
  <si>
    <t>🌟  OPPORTUNITY 1 — POST-COVID CONSUMER HABIT CHANGE: The dataset shows that 2023–2025 growth EXCEEDS pre-COVID trajectory. This is not just recovery — it reflects permanently higher food delivery adoption and a cultural shift toward treating pizza as a regular meal (not just a special occasion). This structural tailwind will sustain above-average growth for 5–7 more years.</t>
  </si>
  <si>
    <t>🌟  OPPORTUNITY 2 — HEALTH &amp; PREMIUM POSITIONING: Urban Indian consumers (the core pizza market) are increasingly health-conscious post-COVID. Introducing whole-wheat base options, veggie-loaded variants, low-sodium cheese options, and portion-controlled mini-pizzas can capture a premium health-conscious segment that is currently underserved and willing to pay 20–30% more.</t>
  </si>
  <si>
    <t>🌟  OPPORTUNITY 3 — PREDICTABLE SEASONAL WINDOWS: The 8 years of data create a highly reliable demand calendar. Businesses that use this data to pre-plan marketing campaigns (January deal combos to fight the seasonal slump, December party packages, July school-holiday family deals) can capture additional 10–15% revenue from moments that competitors miss through reactive rather than planned marketing.</t>
  </si>
  <si>
    <t>MARKING SCHEME &amp; EVALUATION RUBRIC — COVID-AWARE ASSESSMENT</t>
  </si>
  <si>
    <t>Q No.</t>
  </si>
  <si>
    <t>Topic</t>
  </si>
  <si>
    <t>Max Marks</t>
  </si>
  <si>
    <t>Full Credit Criteria</t>
  </si>
  <si>
    <t>Partial Credit</t>
  </si>
  <si>
    <t>Zero Credit</t>
  </si>
  <si>
    <t>Q1</t>
  </si>
  <si>
    <t>MoM % Change + extremes</t>
  </si>
  <si>
    <t>All MoM values via formula; Apr 2020 correctly identified as lowest; 2021 H2 as largest recovery</t>
  </si>
  <si>
    <t>Correct formula, misses extremes identification</t>
  </si>
  <si>
    <t>Hardcoded or wrong formula</t>
  </si>
  <si>
    <t>Q2</t>
  </si>
  <si>
    <t>YoY Growth + COVID years</t>
  </si>
  <si>
    <t>Negative growth correctly shown for 2020 &amp; 2021; 2023 identified as first recovery year; formula-driven</t>
  </si>
  <si>
    <t>5+ years correct, COVID context missing</t>
  </si>
  <si>
    <t>No COVID distinction</t>
  </si>
  <si>
    <t>Q3</t>
  </si>
  <si>
    <t>CAGR — 3 periods</t>
  </si>
  <si>
    <t>All 3 CAGR correctly computed; post-COVID &gt; pre-COVID rate explained (delivery boom effect)</t>
  </si>
  <si>
    <t>2 of 3 CAGRs correct</t>
  </si>
  <si>
    <t>Self-referencing formula or hardcoded</t>
  </si>
  <si>
    <t>Q4</t>
  </si>
  <si>
    <t>Lockdown 1.0 Depth</t>
  </si>
  <si>
    <t>Apr–May 2020 vs 2019 drop calculated; ~85% decline identified; estimated loss computed via formula</t>
  </si>
  <si>
    <t>Drop % correct, estimated loss missing</t>
  </si>
  <si>
    <t>Wrong year reference or hardcoded</t>
  </si>
  <si>
    <t>Q5</t>
  </si>
  <si>
    <t>2nd Wave vs 1st Wave</t>
  </si>
  <si>
    <t>Comparison shows similar magnitude; explains 2nd wave MORE damaging financially due to depleted reserves</t>
  </si>
  <si>
    <t>Numbers correct, financial context missing</t>
  </si>
  <si>
    <t>Compares wrong months or years</t>
  </si>
  <si>
    <t>Q6</t>
  </si>
  <si>
    <t>Recovery Rate</t>
  </si>
  <si>
    <t>Recovery year = 2023 identified; trough depth % correct; 4 years to recovery noted</t>
  </si>
  <si>
    <t>2 of 3 metrics correct</t>
  </si>
  <si>
    <t>Wrong recovery year (e.g., says 2022)</t>
  </si>
  <si>
    <t>Q7</t>
  </si>
  <si>
    <t>Seasonal Index — clean vs raw</t>
  </si>
  <si>
    <t>Both clean (excl 2020–21) and raw seasonal index computed; correctly notes COVID distortion in raw</t>
  </si>
  <si>
    <t>One of two indices computed correctly</t>
  </si>
  <si>
    <t>No acknowledgement of COVID distortion</t>
  </si>
  <si>
    <t>Q8</t>
  </si>
  <si>
    <t>Std Dev — volatility</t>
  </si>
  <si>
    <t>STDEV() for all years; 2020 &amp; 2021 highest correctly explained (lockdown month extremes vs normal months)</t>
  </si>
  <si>
    <t>STDEV correct, explanation missing</t>
  </si>
  <si>
    <t>Hardcoded or wrong function</t>
  </si>
  <si>
    <t>Q9</t>
  </si>
  <si>
    <t>Year Share % + revenue loss</t>
  </si>
  <si>
    <t>Share % sums to 100%; COVID years noted as undersized; estimated lost revenue vs projected growth computed</t>
  </si>
  <si>
    <t>Share % correct, loss estimation missing</t>
  </si>
  <si>
    <t>Doesn't sum to 100%</t>
  </si>
  <si>
    <t>Q10</t>
  </si>
  <si>
    <t>3-Month Moving Average</t>
  </si>
  <si>
    <t>Correct rolling 3-month formula; Apr–Jun 2020 as steepest drop correctly identified</t>
  </si>
  <si>
    <t>Formula correct, identification missing</t>
  </si>
  <si>
    <t>Wrong window</t>
  </si>
  <si>
    <t>Q11</t>
  </si>
  <si>
    <t>Line Chart — COVID highlighted</t>
  </si>
  <si>
    <t>Chart present; 2020 &amp; 2021 in RED; annotation on V-recovery; title and axis labels</t>
  </si>
  <si>
    <t>Chart present, missing COVID highlighting or annotation</t>
  </si>
  <si>
    <t>No chart or wrong data range</t>
  </si>
  <si>
    <t>Q12</t>
  </si>
  <si>
    <t>H1 vs H2 Bar Chart</t>
  </si>
  <si>
    <t>H1/H2 split correct for all years; chart clearly shows 2020–21 H1 devastation vs H2 partial recovery</t>
  </si>
  <si>
    <t>Chart present, some H1/H2 errors</t>
  </si>
  <si>
    <t>No chart</t>
  </si>
  <si>
    <t>Q13</t>
  </si>
  <si>
    <t>Conditional Formatting</t>
  </si>
  <si>
    <t>3-tier formatting applied: &lt;200 red, 200–500 yellow, &gt;900 green; covers all 96 cells</t>
  </si>
  <si>
    <t>2 tiers correct</t>
  </si>
  <si>
    <t>No formatting</t>
  </si>
  <si>
    <t>Q14</t>
  </si>
  <si>
    <t>Summary Table</t>
  </si>
  <si>
    <t>All metrics (Total, Avg, Best/Worst month with name) correct for all 8 years using SUMIF/MAX/MIN</t>
  </si>
  <si>
    <t>6 of 8 years correct</t>
  </si>
  <si>
    <t>Hardcoded values</t>
  </si>
  <si>
    <t>Q15</t>
  </si>
  <si>
    <t>Trend Analysis — written</t>
  </si>
  <si>
    <t>8–10 lines; Apr 2020 figure cited; COVID years YoY decline mentioned; 2023 recovery year; post-2022 CAGR</t>
  </si>
  <si>
    <t>4–5 lines, 1–2 data points</t>
  </si>
  <si>
    <t>Generic, no data</t>
  </si>
  <si>
    <t>Q16</t>
  </si>
  <si>
    <t>Business Strategy — written</t>
  </si>
  <si>
    <t>5 recommendations, each tied to data; at least 2 COVID-specific insights (delivery infra, cash reserves)</t>
  </si>
  <si>
    <t>3–4 recommendations with data</t>
  </si>
  <si>
    <t>No data reference</t>
  </si>
  <si>
    <t>Q17</t>
  </si>
  <si>
    <t>Risk &amp; Opportunity — written</t>
  </si>
  <si>
    <t>3 risks + 3 opportunities; all tied to specific months/years; includes pandemic recurrence risk</t>
  </si>
  <si>
    <t>4 of 6 with data</t>
  </si>
  <si>
    <t>Generic list, no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</si>
</sst>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b/>
      <sz val="15"/>
      <color rgb="FFFFFFFF"/>
      <name val="Arial"/>
      <charset val="1"/>
    </font>
    <font>
      <sz val="9"/>
      <color rgb="FFF5A623"/>
      <name val="Arial"/>
      <charset val="1"/>
    </font>
    <font>
      <sz val="9"/>
      <color rgb="FFFFFFFF"/>
      <name val="Arial"/>
      <charset val="1"/>
    </font>
    <font>
      <b/>
      <sz val="10"/>
      <color rgb="FFFFFFFF"/>
      <name val="Arial"/>
      <charset val="1"/>
    </font>
    <font>
      <sz val="10"/>
      <name val="Arial"/>
      <charset val="1"/>
    </font>
    <font>
      <sz val="10"/>
      <color rgb="FFB7770D"/>
      <name val="Arial"/>
      <charset val="1"/>
    </font>
    <font>
      <b/>
      <sz val="10"/>
      <color rgb="FFE74C3C"/>
      <name val="Arial"/>
      <charset val="1"/>
    </font>
    <font>
      <sz val="10"/>
      <color rgb="FF1E8449"/>
      <name val="Arial"/>
      <charset val="1"/>
    </font>
    <font>
      <b/>
      <sz val="16"/>
      <color rgb="FFFFFFFF"/>
      <name val="Arial"/>
      <charset val="1"/>
    </font>
    <font>
      <sz val="10"/>
      <color rgb="FFF9E547"/>
      <name val="Arial"/>
      <charset val="1"/>
    </font>
    <font>
      <b/>
      <sz val="12"/>
      <color rgb="FFFFFFFF"/>
      <name val="Arial"/>
      <charset val="1"/>
    </font>
    <font>
      <b/>
      <sz val="10"/>
      <color rgb="FFE94560"/>
      <name val="Arial"/>
      <charset val="1"/>
    </font>
    <font>
      <b/>
      <sz val="9"/>
      <color rgb="FFF5A623"/>
      <name val="Arial"/>
      <charset val="1"/>
    </font>
    <font>
      <b/>
      <sz val="14"/>
      <color rgb="FFFFFFFF"/>
      <name val="Arial"/>
      <charset val="1"/>
    </font>
    <font>
      <b/>
      <sz val="11"/>
      <color rgb="FFFFFFFF"/>
      <name val="Arial"/>
      <charset val="1"/>
    </font>
    <font>
      <b/>
      <sz val="10"/>
      <name val="Arial"/>
      <charset val="1"/>
    </font>
    <font>
      <sz val="10"/>
      <color rgb="FF006600"/>
      <name val="Arial"/>
      <charset val="1"/>
    </font>
    <font>
      <i/>
      <sz val="9"/>
      <name val="Arial"/>
      <charset val="1"/>
    </font>
    <font>
      <sz val="10"/>
      <color rgb="FFE74C3C"/>
      <name val="Arial"/>
      <charset val="1"/>
    </font>
    <font>
      <sz val="10"/>
      <color rgb="FF27AE60"/>
      <name val="Arial"/>
      <charset val="1"/>
    </font>
    <font>
      <sz val="9"/>
      <name val="Arial"/>
      <charset val="1"/>
    </font>
  </fonts>
  <fills count="13">
    <fill>
      <patternFill patternType="none"/>
    </fill>
    <fill>
      <patternFill patternType="gray125"/>
    </fill>
    <fill>
      <patternFill patternType="solid">
        <fgColor rgb="FF1A1A2E"/>
        <bgColor rgb="FF16213E"/>
      </patternFill>
    </fill>
    <fill>
      <patternFill patternType="solid">
        <fgColor rgb="FF16213E"/>
        <bgColor rgb="FF1A1A2E"/>
      </patternFill>
    </fill>
    <fill>
      <patternFill patternType="solid">
        <fgColor rgb="FF2C3E50"/>
        <bgColor rgb="FF0F3460"/>
      </patternFill>
    </fill>
    <fill>
      <patternFill patternType="solid">
        <fgColor rgb="FFE94560"/>
        <bgColor rgb="FFE74C3C"/>
      </patternFill>
    </fill>
    <fill>
      <patternFill patternType="solid">
        <fgColor rgb="FF0F3460"/>
        <bgColor rgb="FF2C3E50"/>
      </patternFill>
    </fill>
    <fill>
      <patternFill patternType="solid">
        <fgColor rgb="FFF2F2F2"/>
        <bgColor rgb="FFEAFAF1"/>
      </patternFill>
    </fill>
    <fill>
      <patternFill patternType="solid">
        <fgColor rgb="FFFFFFFF"/>
        <bgColor rgb="FFFEF9E7"/>
      </patternFill>
    </fill>
    <fill>
      <patternFill patternType="solid">
        <fgColor rgb="FFFEF9E7"/>
        <bgColor rgb="FFFFFFFF"/>
      </patternFill>
    </fill>
    <fill>
      <patternFill patternType="solid">
        <fgColor rgb="FFFADBD8"/>
        <bgColor rgb="FFF2F2F2"/>
      </patternFill>
    </fill>
    <fill>
      <patternFill patternType="solid">
        <fgColor rgb="FFEAFAF1"/>
        <bgColor rgb="FFF2F2F2"/>
      </patternFill>
    </fill>
    <fill>
      <patternFill patternType="solid">
        <fgColor rgb="FF922B21"/>
        <bgColor rgb="FF993366"/>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74">
    <xf numFmtId="0" fontId="0" fillId="0" borderId="0" xfId="0"/>
    <xf numFmtId="0" fontId="5" fillId="7"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2" fillId="3" borderId="0" xfId="0" applyFont="1" applyFill="1" applyBorder="1" applyAlignment="1">
      <alignment horizontal="center" vertical="center" wrapText="1"/>
    </xf>
    <xf numFmtId="0" fontId="15" fillId="5" borderId="0" xfId="0" applyFont="1" applyFill="1" applyBorder="1" applyAlignment="1">
      <alignment horizontal="left" vertical="center"/>
    </xf>
    <xf numFmtId="0" fontId="14" fillId="2" borderId="0" xfId="0" applyFont="1" applyFill="1" applyBorder="1" applyAlignment="1">
      <alignment horizontal="center" vertical="center"/>
    </xf>
    <xf numFmtId="0" fontId="5" fillId="0" borderId="2" xfId="0" applyFont="1" applyBorder="1" applyAlignment="1">
      <alignment horizontal="left" vertical="center" wrapText="1"/>
    </xf>
    <xf numFmtId="0" fontId="11" fillId="6" borderId="0" xfId="0" applyFont="1" applyFill="1" applyBorder="1" applyAlignment="1">
      <alignment horizontal="left" vertical="center"/>
    </xf>
    <xf numFmtId="0" fontId="2" fillId="12" borderId="0" xfId="0" applyFont="1" applyFill="1" applyBorder="1" applyAlignment="1">
      <alignment horizontal="left" vertical="center" wrapText="1"/>
    </xf>
    <xf numFmtId="0" fontId="10" fillId="3" borderId="0" xfId="0" applyFont="1" applyFill="1" applyBorder="1" applyAlignment="1">
      <alignment horizontal="center" vertical="center"/>
    </xf>
    <xf numFmtId="0" fontId="9" fillId="2" borderId="0" xfId="0" applyFont="1" applyFill="1" applyBorder="1" applyAlignment="1">
      <alignment horizontal="center" vertical="center"/>
    </xf>
    <xf numFmtId="0" fontId="3" fillId="12" borderId="0" xfId="0" applyFont="1" applyFill="1" applyBorder="1" applyAlignment="1">
      <alignment horizontal="left" vertical="center" wrapText="1"/>
    </xf>
    <xf numFmtId="0" fontId="3" fillId="4" borderId="0" xfId="0" applyFont="1" applyFill="1" applyBorder="1" applyAlignment="1">
      <alignment horizontal="center" vertical="center"/>
    </xf>
    <xf numFmtId="0" fontId="2" fillId="3"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0" borderId="0" xfId="0" applyAlignment="1"/>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3" fontId="5" fillId="7" borderId="1" xfId="0" applyNumberFormat="1" applyFont="1" applyFill="1" applyBorder="1" applyAlignment="1">
      <alignment horizontal="center" vertical="center"/>
    </xf>
    <xf numFmtId="3" fontId="4" fillId="6" borderId="1" xfId="0" applyNumberFormat="1" applyFont="1" applyFill="1" applyBorder="1" applyAlignment="1">
      <alignment horizontal="center" vertical="center"/>
    </xf>
    <xf numFmtId="3" fontId="5" fillId="8" borderId="1" xfId="0" applyNumberFormat="1" applyFont="1" applyFill="1" applyBorder="1" applyAlignment="1">
      <alignment horizontal="center" vertical="center"/>
    </xf>
    <xf numFmtId="3" fontId="6" fillId="9" borderId="1" xfId="0" applyNumberFormat="1" applyFont="1" applyFill="1" applyBorder="1" applyAlignment="1">
      <alignment horizontal="center" vertical="center"/>
    </xf>
    <xf numFmtId="3" fontId="7" fillId="10" borderId="1" xfId="0" applyNumberFormat="1" applyFont="1" applyFill="1" applyBorder="1" applyAlignment="1">
      <alignment horizontal="center" vertical="center"/>
    </xf>
    <xf numFmtId="3" fontId="8" fillId="11"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0" fontId="13" fillId="2"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16" fillId="7" borderId="1" xfId="0" applyFont="1" applyFill="1" applyBorder="1" applyAlignment="1">
      <alignment horizontal="center" vertical="center"/>
    </xf>
    <xf numFmtId="3" fontId="17" fillId="7" borderId="1" xfId="0" applyNumberFormat="1" applyFont="1" applyFill="1" applyBorder="1" applyAlignment="1">
      <alignment horizontal="center" vertical="center"/>
    </xf>
    <xf numFmtId="0" fontId="0" fillId="7" borderId="1" xfId="0" applyFont="1" applyFill="1" applyBorder="1" applyAlignment="1">
      <alignment horizontal="center" vertical="center"/>
    </xf>
    <xf numFmtId="0" fontId="18" fillId="7" borderId="1" xfId="0" applyFont="1" applyFill="1" applyBorder="1" applyAlignment="1">
      <alignment horizontal="center" vertical="center"/>
    </xf>
    <xf numFmtId="0" fontId="18" fillId="7" borderId="1" xfId="0" applyFont="1" applyFill="1" applyBorder="1" applyAlignment="1">
      <alignment horizontal="left" vertical="center" wrapText="1"/>
    </xf>
    <xf numFmtId="0" fontId="16" fillId="8" borderId="1" xfId="0" applyFont="1" applyFill="1" applyBorder="1" applyAlignment="1">
      <alignment horizontal="center" vertical="center"/>
    </xf>
    <xf numFmtId="3" fontId="17" fillId="8" borderId="1" xfId="0" applyNumberFormat="1" applyFont="1" applyFill="1" applyBorder="1" applyAlignment="1">
      <alignment horizontal="center" vertical="center"/>
    </xf>
    <xf numFmtId="10" fontId="17" fillId="8" borderId="1" xfId="0" applyNumberFormat="1" applyFont="1" applyFill="1" applyBorder="1" applyAlignment="1">
      <alignment horizontal="center" vertical="center"/>
    </xf>
    <xf numFmtId="0" fontId="18" fillId="8" borderId="1" xfId="0" applyFont="1" applyFill="1" applyBorder="1" applyAlignment="1">
      <alignment horizontal="left" vertical="center" wrapText="1"/>
    </xf>
    <xf numFmtId="0" fontId="16" fillId="10" borderId="1" xfId="0" applyFont="1" applyFill="1" applyBorder="1" applyAlignment="1">
      <alignment horizontal="center" vertical="center"/>
    </xf>
    <xf numFmtId="3" fontId="17" fillId="10" borderId="1" xfId="0" applyNumberFormat="1" applyFont="1" applyFill="1" applyBorder="1" applyAlignment="1">
      <alignment horizontal="center" vertical="center"/>
    </xf>
    <xf numFmtId="10" fontId="17" fillId="10" borderId="1" xfId="0" applyNumberFormat="1" applyFont="1" applyFill="1" applyBorder="1" applyAlignment="1">
      <alignment horizontal="center" vertical="center"/>
    </xf>
    <xf numFmtId="0" fontId="18" fillId="10" borderId="1" xfId="0" applyFont="1" applyFill="1" applyBorder="1" applyAlignment="1">
      <alignment horizontal="left" vertical="center" wrapText="1"/>
    </xf>
    <xf numFmtId="0" fontId="16" fillId="9" borderId="1" xfId="0" applyFont="1" applyFill="1" applyBorder="1" applyAlignment="1">
      <alignment horizontal="center" vertical="center"/>
    </xf>
    <xf numFmtId="3" fontId="17" fillId="9" borderId="1" xfId="0" applyNumberFormat="1" applyFont="1" applyFill="1" applyBorder="1" applyAlignment="1">
      <alignment horizontal="center" vertical="center"/>
    </xf>
    <xf numFmtId="10" fontId="17" fillId="9" borderId="1" xfId="0" applyNumberFormat="1" applyFont="1" applyFill="1" applyBorder="1" applyAlignment="1">
      <alignment horizontal="center" vertical="center"/>
    </xf>
    <xf numFmtId="0" fontId="18" fillId="9" borderId="1" xfId="0" applyFont="1" applyFill="1" applyBorder="1" applyAlignment="1">
      <alignment horizontal="left" vertical="center" wrapText="1"/>
    </xf>
    <xf numFmtId="10" fontId="17" fillId="7" borderId="1" xfId="0" applyNumberFormat="1" applyFont="1" applyFill="1" applyBorder="1" applyAlignment="1">
      <alignment horizontal="center" vertical="center"/>
    </xf>
    <xf numFmtId="0" fontId="16" fillId="0" borderId="1" xfId="0" applyFont="1" applyBorder="1" applyAlignment="1">
      <alignment horizontal="left" vertical="center" wrapText="1"/>
    </xf>
    <xf numFmtId="3" fontId="17" fillId="0" borderId="1" xfId="0" applyNumberFormat="1" applyFont="1" applyBorder="1" applyAlignment="1">
      <alignment horizontal="center" vertical="center"/>
    </xf>
    <xf numFmtId="0" fontId="5" fillId="0" borderId="1" xfId="0" applyFont="1" applyBorder="1" applyAlignment="1">
      <alignment horizontal="center" vertical="center"/>
    </xf>
    <xf numFmtId="10" fontId="17" fillId="0" borderId="1" xfId="0" applyNumberFormat="1" applyFont="1" applyBorder="1" applyAlignment="1">
      <alignment horizontal="center" vertical="center"/>
    </xf>
    <xf numFmtId="0" fontId="18" fillId="0" borderId="1" xfId="0" applyFont="1" applyBorder="1" applyAlignment="1">
      <alignment horizontal="left" vertical="center" wrapText="1"/>
    </xf>
    <xf numFmtId="3" fontId="19" fillId="0" borderId="1" xfId="0" applyNumberFormat="1" applyFont="1" applyBorder="1" applyAlignment="1">
      <alignment horizontal="center" vertical="center"/>
    </xf>
    <xf numFmtId="10" fontId="19" fillId="0" borderId="1" xfId="0" applyNumberFormat="1" applyFont="1" applyBorder="1" applyAlignment="1">
      <alignment horizontal="center" vertical="center"/>
    </xf>
    <xf numFmtId="0" fontId="16" fillId="0" borderId="1" xfId="0" applyFont="1" applyBorder="1" applyAlignment="1">
      <alignment horizontal="left" vertical="center"/>
    </xf>
    <xf numFmtId="0" fontId="18" fillId="0" borderId="1" xfId="0" applyFont="1" applyBorder="1" applyAlignment="1">
      <alignment horizontal="left" vertical="center"/>
    </xf>
    <xf numFmtId="1" fontId="17" fillId="0" borderId="1" xfId="0" applyNumberFormat="1" applyFont="1" applyBorder="1" applyAlignment="1">
      <alignment horizontal="center" vertical="center"/>
    </xf>
    <xf numFmtId="164" fontId="17" fillId="8" borderId="1" xfId="0" applyNumberFormat="1" applyFont="1" applyFill="1" applyBorder="1" applyAlignment="1">
      <alignment horizontal="center" vertical="center"/>
    </xf>
    <xf numFmtId="3" fontId="19" fillId="8" borderId="1" xfId="0" applyNumberFormat="1" applyFont="1" applyFill="1" applyBorder="1" applyAlignment="1">
      <alignment horizontal="center" vertical="center"/>
    </xf>
    <xf numFmtId="3" fontId="20" fillId="8" borderId="1" xfId="0" applyNumberFormat="1" applyFont="1" applyFill="1" applyBorder="1" applyAlignment="1">
      <alignment horizontal="center" vertical="center"/>
    </xf>
    <xf numFmtId="164" fontId="17" fillId="7" borderId="1" xfId="0" applyNumberFormat="1" applyFont="1" applyFill="1" applyBorder="1" applyAlignment="1">
      <alignment horizontal="center" vertical="center"/>
    </xf>
    <xf numFmtId="3" fontId="19" fillId="7" borderId="1" xfId="0" applyNumberFormat="1" applyFont="1" applyFill="1" applyBorder="1" applyAlignment="1">
      <alignment horizontal="center" vertical="center"/>
    </xf>
    <xf numFmtId="3" fontId="20" fillId="7" borderId="1" xfId="0" applyNumberFormat="1" applyFont="1" applyFill="1" applyBorder="1" applyAlignment="1">
      <alignment horizontal="center" vertical="center"/>
    </xf>
    <xf numFmtId="164" fontId="17" fillId="10" borderId="1" xfId="0" applyNumberFormat="1" applyFont="1" applyFill="1" applyBorder="1" applyAlignment="1">
      <alignment horizontal="center" vertical="center"/>
    </xf>
    <xf numFmtId="3" fontId="19" fillId="10" borderId="1" xfId="0" applyNumberFormat="1" applyFont="1" applyFill="1" applyBorder="1" applyAlignment="1">
      <alignment horizontal="center" vertical="center"/>
    </xf>
    <xf numFmtId="3" fontId="20" fillId="10" borderId="1" xfId="0" applyNumberFormat="1" applyFont="1" applyFill="1" applyBorder="1" applyAlignment="1">
      <alignment horizontal="center" vertical="center"/>
    </xf>
    <xf numFmtId="164" fontId="17" fillId="9" borderId="1" xfId="0" applyNumberFormat="1" applyFont="1" applyFill="1" applyBorder="1" applyAlignment="1">
      <alignment horizontal="center" vertical="center"/>
    </xf>
    <xf numFmtId="3" fontId="19" fillId="9" borderId="1" xfId="0" applyNumberFormat="1" applyFont="1" applyFill="1" applyBorder="1" applyAlignment="1">
      <alignment horizontal="center" vertical="center"/>
    </xf>
    <xf numFmtId="3" fontId="20" fillId="9" borderId="1" xfId="0" applyNumberFormat="1" applyFont="1" applyFill="1" applyBorder="1" applyAlignment="1">
      <alignment horizontal="center" vertical="center"/>
    </xf>
    <xf numFmtId="0" fontId="4" fillId="5" borderId="1" xfId="0" applyFont="1" applyFill="1" applyBorder="1" applyAlignment="1">
      <alignment horizontal="left" vertical="center" wrapText="1"/>
    </xf>
    <xf numFmtId="0" fontId="21" fillId="7" borderId="1" xfId="0" applyFont="1" applyFill="1" applyBorder="1" applyAlignment="1">
      <alignment horizontal="center" vertical="center"/>
    </xf>
    <xf numFmtId="0" fontId="21" fillId="7" borderId="1" xfId="0" applyFont="1" applyFill="1" applyBorder="1" applyAlignment="1">
      <alignment horizontal="left" vertical="center" wrapText="1"/>
    </xf>
    <xf numFmtId="0" fontId="21" fillId="10" borderId="1" xfId="0" applyFont="1" applyFill="1" applyBorder="1" applyAlignment="1">
      <alignment horizontal="center" vertical="center"/>
    </xf>
    <xf numFmtId="0" fontId="21" fillId="10" borderId="1" xfId="0" applyFont="1" applyFill="1" applyBorder="1" applyAlignment="1">
      <alignment horizontal="left" vertical="center" wrapText="1"/>
    </xf>
    <xf numFmtId="0" fontId="21" fillId="8" borderId="1" xfId="0" applyFont="1" applyFill="1" applyBorder="1" applyAlignment="1">
      <alignment horizontal="center" vertical="center"/>
    </xf>
    <xf numFmtId="0" fontId="21" fillId="8"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600"/>
      <rgbColor rgb="FF000080"/>
      <rgbColor rgb="FFB7770D"/>
      <rgbColor rgb="FF800080"/>
      <rgbColor rgb="FF1E8449"/>
      <rgbColor rgb="FFCCCCCC"/>
      <rgbColor rgb="FF808080"/>
      <rgbColor rgb="FF9999FF"/>
      <rgbColor rgb="FFE94560"/>
      <rgbColor rgb="FFFEF9E7"/>
      <rgbColor rgb="FFEAF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ADBD8"/>
      <rgbColor rgb="FF3366FF"/>
      <rgbColor rgb="FF33CCCC"/>
      <rgbColor rgb="FF99CC00"/>
      <rgbColor rgb="FFF9E547"/>
      <rgbColor rgb="FFF5A623"/>
      <rgbColor rgb="FFE74C3C"/>
      <rgbColor rgb="FF666699"/>
      <rgbColor rgb="FF969696"/>
      <rgbColor rgb="FF0F3460"/>
      <rgbColor rgb="FF27AE60"/>
      <rgbColor rgb="FF16213E"/>
      <rgbColor rgb="FF1A1A2E"/>
      <rgbColor rgb="FF922B21"/>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zoomScaleNormal="100" workbookViewId="0"/>
  </sheetViews>
  <sheetFormatPr defaultColWidth="8.7421875" defaultRowHeight="15" x14ac:dyDescent="0.2"/>
  <cols>
    <col min="1" max="1" width="7.93359375" style="15" customWidth="1"/>
    <col min="2" max="13" width="9.01171875" style="15" customWidth="1"/>
    <col min="14" max="14" width="13.98828125" style="15" customWidth="1"/>
  </cols>
  <sheetData>
    <row r="1" spans="1:14" ht="36" customHeight="1" x14ac:dyDescent="0.2">
      <c r="A1" s="14" t="s">
        <v>0</v>
      </c>
      <c r="B1" s="14"/>
      <c r="C1" s="14"/>
      <c r="D1" s="14"/>
      <c r="E1" s="14"/>
      <c r="F1" s="14"/>
      <c r="G1" s="14"/>
      <c r="H1" s="14"/>
      <c r="I1" s="14"/>
      <c r="J1" s="14"/>
      <c r="K1" s="14"/>
      <c r="L1" s="14"/>
      <c r="M1" s="14"/>
      <c r="N1" s="14"/>
    </row>
    <row r="2" spans="1:14" ht="19.5" customHeight="1" x14ac:dyDescent="0.2">
      <c r="A2" s="13" t="s">
        <v>1</v>
      </c>
      <c r="B2" s="13"/>
      <c r="C2" s="13"/>
      <c r="D2" s="13"/>
      <c r="E2" s="13"/>
      <c r="F2" s="13"/>
      <c r="G2" s="13"/>
      <c r="H2" s="13"/>
      <c r="I2" s="13"/>
      <c r="J2" s="13"/>
      <c r="K2" s="13"/>
      <c r="L2" s="13"/>
      <c r="M2" s="13"/>
      <c r="N2" s="13"/>
    </row>
    <row r="3" spans="1:14" ht="18" customHeight="1" x14ac:dyDescent="0.2">
      <c r="A3" s="12" t="s">
        <v>2</v>
      </c>
      <c r="B3" s="12"/>
      <c r="C3" s="12"/>
      <c r="D3" s="12"/>
      <c r="E3" s="12"/>
      <c r="F3" s="12"/>
      <c r="G3" s="12"/>
      <c r="H3" s="12"/>
      <c r="I3" s="12"/>
      <c r="J3" s="12"/>
      <c r="K3" s="12"/>
      <c r="L3" s="12"/>
      <c r="M3" s="12"/>
      <c r="N3" s="12"/>
    </row>
    <row r="5" spans="1:14" ht="21.75" customHeight="1" x14ac:dyDescent="0.2">
      <c r="A5" s="16" t="s">
        <v>3</v>
      </c>
      <c r="B5" s="16" t="s">
        <v>4</v>
      </c>
      <c r="C5" s="16" t="s">
        <v>5</v>
      </c>
      <c r="D5" s="16" t="s">
        <v>6</v>
      </c>
      <c r="E5" s="16" t="s">
        <v>7</v>
      </c>
      <c r="F5" s="16" t="s">
        <v>8</v>
      </c>
      <c r="G5" s="16" t="s">
        <v>9</v>
      </c>
      <c r="H5" s="16" t="s">
        <v>10</v>
      </c>
      <c r="I5" s="16" t="s">
        <v>11</v>
      </c>
      <c r="J5" s="16" t="s">
        <v>12</v>
      </c>
      <c r="K5" s="16" t="s">
        <v>13</v>
      </c>
      <c r="L5" s="16" t="s">
        <v>14</v>
      </c>
      <c r="M5" s="16" t="s">
        <v>15</v>
      </c>
      <c r="N5" s="16" t="s">
        <v>16</v>
      </c>
    </row>
    <row r="6" spans="1:14" ht="15" customHeight="1" x14ac:dyDescent="0.2">
      <c r="A6" s="17">
        <v>2018</v>
      </c>
      <c r="B6" s="18">
        <v>520</v>
      </c>
      <c r="C6" s="18">
        <v>480</v>
      </c>
      <c r="D6" s="18">
        <v>610</v>
      </c>
      <c r="E6" s="18">
        <v>590</v>
      </c>
      <c r="F6" s="18">
        <v>650</v>
      </c>
      <c r="G6" s="18">
        <v>720</v>
      </c>
      <c r="H6" s="18">
        <v>780</v>
      </c>
      <c r="I6" s="18">
        <v>810</v>
      </c>
      <c r="J6" s="18">
        <v>740</v>
      </c>
      <c r="K6" s="18">
        <v>680</v>
      </c>
      <c r="L6" s="18">
        <v>760</v>
      </c>
      <c r="M6" s="18">
        <v>920</v>
      </c>
      <c r="N6" s="19">
        <f>SUM(B6:M6)</f>
        <v>8260</v>
      </c>
    </row>
    <row r="7" spans="1:14" ht="15" customHeight="1" x14ac:dyDescent="0.2">
      <c r="A7" s="17">
        <v>2019</v>
      </c>
      <c r="B7" s="20">
        <v>562</v>
      </c>
      <c r="C7" s="20">
        <v>518</v>
      </c>
      <c r="D7" s="20">
        <v>659</v>
      </c>
      <c r="E7" s="20">
        <v>637</v>
      </c>
      <c r="F7" s="20">
        <v>702</v>
      </c>
      <c r="G7" s="20">
        <v>778</v>
      </c>
      <c r="H7" s="20">
        <v>842</v>
      </c>
      <c r="I7" s="20">
        <v>875</v>
      </c>
      <c r="J7" s="20">
        <v>799</v>
      </c>
      <c r="K7" s="20">
        <v>734</v>
      </c>
      <c r="L7" s="20">
        <v>821</v>
      </c>
      <c r="M7" s="20">
        <v>994</v>
      </c>
      <c r="N7" s="19">
        <f>SUM(B7:M7)</f>
        <v>8921</v>
      </c>
    </row>
    <row r="8" spans="1:14" ht="15" customHeight="1" x14ac:dyDescent="0.2">
      <c r="A8" s="17">
        <v>2020</v>
      </c>
      <c r="B8" s="18">
        <v>558</v>
      </c>
      <c r="C8" s="18">
        <v>510</v>
      </c>
      <c r="D8" s="21">
        <v>310</v>
      </c>
      <c r="E8" s="22">
        <v>95</v>
      </c>
      <c r="F8" s="22">
        <v>120</v>
      </c>
      <c r="G8" s="21">
        <v>195</v>
      </c>
      <c r="H8" s="21">
        <v>420</v>
      </c>
      <c r="I8" s="21">
        <v>455</v>
      </c>
      <c r="J8" s="21">
        <v>415</v>
      </c>
      <c r="K8" s="21">
        <v>478</v>
      </c>
      <c r="L8" s="21">
        <v>445</v>
      </c>
      <c r="M8" s="21">
        <v>520</v>
      </c>
      <c r="N8" s="19">
        <f>SUM(B8:M8)</f>
        <v>4521</v>
      </c>
    </row>
    <row r="9" spans="1:14" ht="15" customHeight="1" x14ac:dyDescent="0.2">
      <c r="A9" s="17">
        <v>2021</v>
      </c>
      <c r="B9" s="21">
        <v>340</v>
      </c>
      <c r="C9" s="21">
        <v>320</v>
      </c>
      <c r="D9" s="21">
        <v>398</v>
      </c>
      <c r="E9" s="22">
        <v>110</v>
      </c>
      <c r="F9" s="22">
        <v>130</v>
      </c>
      <c r="G9" s="21">
        <v>260</v>
      </c>
      <c r="H9" s="21">
        <v>490</v>
      </c>
      <c r="I9" s="21">
        <v>530</v>
      </c>
      <c r="J9" s="23">
        <v>500</v>
      </c>
      <c r="K9" s="23">
        <v>580</v>
      </c>
      <c r="L9" s="23">
        <v>560</v>
      </c>
      <c r="M9" s="23">
        <v>710</v>
      </c>
      <c r="N9" s="19">
        <f>SUM(B9:M9)</f>
        <v>4928</v>
      </c>
    </row>
    <row r="10" spans="1:14" ht="15" customHeight="1" x14ac:dyDescent="0.2">
      <c r="A10" s="17">
        <v>2022</v>
      </c>
      <c r="B10" s="21">
        <v>295</v>
      </c>
      <c r="C10" s="23">
        <v>350</v>
      </c>
      <c r="D10" s="23">
        <v>480</v>
      </c>
      <c r="E10" s="23">
        <v>560</v>
      </c>
      <c r="F10" s="23">
        <v>610</v>
      </c>
      <c r="G10" s="23">
        <v>660</v>
      </c>
      <c r="H10" s="18">
        <v>720</v>
      </c>
      <c r="I10" s="18">
        <v>760</v>
      </c>
      <c r="J10" s="18">
        <v>700</v>
      </c>
      <c r="K10" s="18">
        <v>730</v>
      </c>
      <c r="L10" s="18">
        <v>770</v>
      </c>
      <c r="M10" s="18">
        <v>910</v>
      </c>
      <c r="N10" s="19">
        <f>SUM(B10:M10)</f>
        <v>7545</v>
      </c>
    </row>
    <row r="11" spans="1:14" ht="15" customHeight="1" x14ac:dyDescent="0.2">
      <c r="A11" s="17">
        <v>2023</v>
      </c>
      <c r="B11" s="20">
        <v>680</v>
      </c>
      <c r="C11" s="20">
        <v>630</v>
      </c>
      <c r="D11" s="20">
        <v>740</v>
      </c>
      <c r="E11" s="20">
        <v>770</v>
      </c>
      <c r="F11" s="20">
        <v>840</v>
      </c>
      <c r="G11" s="20">
        <v>910</v>
      </c>
      <c r="H11" s="20">
        <v>980</v>
      </c>
      <c r="I11" s="20">
        <v>1020</v>
      </c>
      <c r="J11" s="20">
        <v>940</v>
      </c>
      <c r="K11" s="20">
        <v>880</v>
      </c>
      <c r="L11" s="20">
        <v>970</v>
      </c>
      <c r="M11" s="20">
        <v>1150</v>
      </c>
      <c r="N11" s="19">
        <f>SUM(B11:M11)</f>
        <v>10510</v>
      </c>
    </row>
    <row r="12" spans="1:14" ht="15" customHeight="1" x14ac:dyDescent="0.2">
      <c r="A12" s="17">
        <v>2024</v>
      </c>
      <c r="B12" s="18">
        <v>740</v>
      </c>
      <c r="C12" s="18">
        <v>690</v>
      </c>
      <c r="D12" s="18">
        <v>800</v>
      </c>
      <c r="E12" s="18">
        <v>840</v>
      </c>
      <c r="F12" s="18">
        <v>910</v>
      </c>
      <c r="G12" s="18">
        <v>990</v>
      </c>
      <c r="H12" s="18">
        <v>1060</v>
      </c>
      <c r="I12" s="18">
        <v>1110</v>
      </c>
      <c r="J12" s="18">
        <v>1020</v>
      </c>
      <c r="K12" s="18">
        <v>950</v>
      </c>
      <c r="L12" s="18">
        <v>1050</v>
      </c>
      <c r="M12" s="18">
        <v>1250</v>
      </c>
      <c r="N12" s="19">
        <f>SUM(B12:M12)</f>
        <v>11410</v>
      </c>
    </row>
    <row r="13" spans="1:14" ht="15" customHeight="1" x14ac:dyDescent="0.2">
      <c r="A13" s="17">
        <v>2025</v>
      </c>
      <c r="B13" s="20">
        <v>800</v>
      </c>
      <c r="C13" s="20">
        <v>750</v>
      </c>
      <c r="D13" s="20">
        <v>870</v>
      </c>
      <c r="E13" s="20">
        <v>920</v>
      </c>
      <c r="F13" s="20">
        <v>995</v>
      </c>
      <c r="G13" s="20">
        <v>1080</v>
      </c>
      <c r="H13" s="20">
        <v>1150</v>
      </c>
      <c r="I13" s="20">
        <v>1200</v>
      </c>
      <c r="J13" s="20">
        <v>1100</v>
      </c>
      <c r="K13" s="20">
        <v>1030</v>
      </c>
      <c r="L13" s="20">
        <v>1130</v>
      </c>
      <c r="M13" s="20">
        <v>1350</v>
      </c>
      <c r="N13" s="19">
        <f>SUM(B13:M13)</f>
        <v>12375</v>
      </c>
    </row>
    <row r="14" spans="1:14" ht="31.5" customHeight="1" x14ac:dyDescent="0.2">
      <c r="A14" s="11" t="s">
        <v>17</v>
      </c>
      <c r="B14" s="11"/>
      <c r="C14" s="11"/>
      <c r="D14" s="11"/>
      <c r="E14" s="11"/>
      <c r="F14" s="11"/>
      <c r="G14" s="11"/>
      <c r="H14" s="11"/>
      <c r="I14" s="11"/>
      <c r="J14" s="11"/>
      <c r="K14" s="11"/>
      <c r="L14" s="11"/>
      <c r="M14" s="11"/>
      <c r="N14" s="11"/>
    </row>
  </sheetData>
  <mergeCells count="4">
    <mergeCell ref="A1:N1"/>
    <mergeCell ref="A2:N2"/>
    <mergeCell ref="A3:N3"/>
    <mergeCell ref="A14:N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zoomScaleNormal="100" workbookViewId="0"/>
  </sheetViews>
  <sheetFormatPr defaultColWidth="8.7421875" defaultRowHeight="15" x14ac:dyDescent="0.2"/>
  <cols>
    <col min="1" max="1" width="6.05078125" style="15" customWidth="1"/>
    <col min="2" max="9" width="13.046875" style="15" customWidth="1"/>
    <col min="10" max="10" width="11.97265625" style="15" customWidth="1"/>
  </cols>
  <sheetData>
    <row r="1" spans="1:10" ht="42" customHeight="1" x14ac:dyDescent="0.2">
      <c r="A1" s="10" t="s">
        <v>18</v>
      </c>
      <c r="B1" s="10"/>
      <c r="C1" s="10"/>
      <c r="D1" s="10"/>
      <c r="E1" s="10"/>
      <c r="F1" s="10"/>
      <c r="G1" s="10"/>
      <c r="H1" s="10"/>
      <c r="I1" s="10"/>
      <c r="J1" s="10"/>
    </row>
    <row r="2" spans="1:10" ht="21.75" customHeight="1" x14ac:dyDescent="0.2">
      <c r="A2" s="9" t="s">
        <v>19</v>
      </c>
      <c r="B2" s="9"/>
      <c r="C2" s="9"/>
      <c r="D2" s="9"/>
      <c r="E2" s="9"/>
      <c r="F2" s="9"/>
      <c r="G2" s="9"/>
      <c r="H2" s="9"/>
      <c r="I2" s="9"/>
      <c r="J2" s="9"/>
    </row>
    <row r="3" spans="1:10" ht="24" customHeight="1" x14ac:dyDescent="0.2">
      <c r="A3" s="8" t="s">
        <v>20</v>
      </c>
      <c r="B3" s="8"/>
      <c r="C3" s="8"/>
      <c r="D3" s="8"/>
      <c r="E3" s="8"/>
      <c r="F3" s="8"/>
      <c r="G3" s="8"/>
      <c r="H3" s="8"/>
      <c r="I3" s="8"/>
      <c r="J3" s="8"/>
    </row>
    <row r="5" spans="1:10" ht="25.5" customHeight="1" x14ac:dyDescent="0.2">
      <c r="A5" s="7" t="s">
        <v>21</v>
      </c>
      <c r="B5" s="7"/>
      <c r="C5" s="7"/>
      <c r="D5" s="7"/>
      <c r="E5" s="7"/>
      <c r="F5" s="7"/>
      <c r="G5" s="7"/>
      <c r="H5" s="7"/>
      <c r="I5" s="7"/>
      <c r="J5" s="7"/>
    </row>
    <row r="6" spans="1:10" ht="48" customHeight="1" x14ac:dyDescent="0.2">
      <c r="A6" s="24" t="s">
        <v>22</v>
      </c>
      <c r="B6" s="6" t="s">
        <v>23</v>
      </c>
      <c r="C6" s="6"/>
      <c r="D6" s="6"/>
      <c r="E6" s="6"/>
      <c r="F6" s="6"/>
      <c r="G6" s="6"/>
      <c r="H6" s="6"/>
      <c r="I6" s="6"/>
      <c r="J6" s="25" t="s">
        <v>24</v>
      </c>
    </row>
    <row r="7" spans="1:10" ht="48" customHeight="1" x14ac:dyDescent="0.2">
      <c r="A7" s="24" t="s">
        <v>25</v>
      </c>
      <c r="B7" s="6" t="s">
        <v>26</v>
      </c>
      <c r="C7" s="6"/>
      <c r="D7" s="6"/>
      <c r="E7" s="6"/>
      <c r="F7" s="6"/>
      <c r="G7" s="6"/>
      <c r="H7" s="6"/>
      <c r="I7" s="6"/>
      <c r="J7" s="25" t="s">
        <v>24</v>
      </c>
    </row>
    <row r="8" spans="1:10" ht="48" customHeight="1" x14ac:dyDescent="0.2">
      <c r="A8" s="24" t="s">
        <v>27</v>
      </c>
      <c r="B8" s="6" t="s">
        <v>28</v>
      </c>
      <c r="C8" s="6"/>
      <c r="D8" s="6"/>
      <c r="E8" s="6"/>
      <c r="F8" s="6"/>
      <c r="G8" s="6"/>
      <c r="H8" s="6"/>
      <c r="I8" s="6"/>
      <c r="J8" s="25" t="s">
        <v>29</v>
      </c>
    </row>
    <row r="9" spans="1:10" ht="48" customHeight="1" x14ac:dyDescent="0.2">
      <c r="A9" s="24" t="s">
        <v>30</v>
      </c>
      <c r="B9" s="6" t="s">
        <v>31</v>
      </c>
      <c r="C9" s="6"/>
      <c r="D9" s="6"/>
      <c r="E9" s="6"/>
      <c r="F9" s="6"/>
      <c r="G9" s="6"/>
      <c r="H9" s="6"/>
      <c r="I9" s="6"/>
      <c r="J9" s="25" t="s">
        <v>29</v>
      </c>
    </row>
    <row r="10" spans="1:10" ht="48" customHeight="1" x14ac:dyDescent="0.2">
      <c r="A10" s="24" t="s">
        <v>32</v>
      </c>
      <c r="B10" s="6" t="s">
        <v>33</v>
      </c>
      <c r="C10" s="6"/>
      <c r="D10" s="6"/>
      <c r="E10" s="6"/>
      <c r="F10" s="6"/>
      <c r="G10" s="6"/>
      <c r="H10" s="6"/>
      <c r="I10" s="6"/>
      <c r="J10" s="25" t="s">
        <v>34</v>
      </c>
    </row>
    <row r="11" spans="1:10" ht="48" customHeight="1" x14ac:dyDescent="0.2">
      <c r="A11" s="24" t="s">
        <v>35</v>
      </c>
      <c r="B11" s="6" t="s">
        <v>36</v>
      </c>
      <c r="C11" s="6"/>
      <c r="D11" s="6"/>
      <c r="E11" s="6"/>
      <c r="F11" s="6"/>
      <c r="G11" s="6"/>
      <c r="H11" s="6"/>
      <c r="I11" s="6"/>
      <c r="J11" s="25" t="s">
        <v>37</v>
      </c>
    </row>
    <row r="12" spans="1:10" ht="48" customHeight="1" x14ac:dyDescent="0.2">
      <c r="A12" s="24" t="s">
        <v>38</v>
      </c>
      <c r="B12" s="6" t="s">
        <v>39</v>
      </c>
      <c r="C12" s="6"/>
      <c r="D12" s="6"/>
      <c r="E12" s="6"/>
      <c r="F12" s="6"/>
      <c r="G12" s="6"/>
      <c r="H12" s="6"/>
      <c r="I12" s="6"/>
      <c r="J12" s="25" t="s">
        <v>34</v>
      </c>
    </row>
    <row r="13" spans="1:10" ht="48" customHeight="1" x14ac:dyDescent="0.2">
      <c r="A13" s="24" t="s">
        <v>40</v>
      </c>
      <c r="B13" s="6" t="s">
        <v>41</v>
      </c>
      <c r="C13" s="6"/>
      <c r="D13" s="6"/>
      <c r="E13" s="6"/>
      <c r="F13" s="6"/>
      <c r="G13" s="6"/>
      <c r="H13" s="6"/>
      <c r="I13" s="6"/>
      <c r="J13" s="25" t="s">
        <v>37</v>
      </c>
    </row>
    <row r="14" spans="1:10" ht="48" customHeight="1" x14ac:dyDescent="0.2">
      <c r="A14" s="24" t="s">
        <v>42</v>
      </c>
      <c r="B14" s="6" t="s">
        <v>43</v>
      </c>
      <c r="C14" s="6"/>
      <c r="D14" s="6"/>
      <c r="E14" s="6"/>
      <c r="F14" s="6"/>
      <c r="G14" s="6"/>
      <c r="H14" s="6"/>
      <c r="I14" s="6"/>
      <c r="J14" s="25" t="s">
        <v>37</v>
      </c>
    </row>
    <row r="15" spans="1:10" ht="48" customHeight="1" x14ac:dyDescent="0.2">
      <c r="A15" s="24" t="s">
        <v>44</v>
      </c>
      <c r="B15" s="6" t="s">
        <v>45</v>
      </c>
      <c r="C15" s="6"/>
      <c r="D15" s="6"/>
      <c r="E15" s="6"/>
      <c r="F15" s="6"/>
      <c r="G15" s="6"/>
      <c r="H15" s="6"/>
      <c r="I15" s="6"/>
      <c r="J15" s="25" t="s">
        <v>46</v>
      </c>
    </row>
    <row r="17" spans="1:10" ht="25.5" customHeight="1" x14ac:dyDescent="0.2">
      <c r="A17" s="7" t="s">
        <v>47</v>
      </c>
      <c r="B17" s="7"/>
      <c r="C17" s="7"/>
      <c r="D17" s="7"/>
      <c r="E17" s="7"/>
      <c r="F17" s="7"/>
      <c r="G17" s="7"/>
      <c r="H17" s="7"/>
      <c r="I17" s="7"/>
      <c r="J17" s="7"/>
    </row>
    <row r="18" spans="1:10" ht="48" customHeight="1" x14ac:dyDescent="0.2">
      <c r="A18" s="24" t="s">
        <v>48</v>
      </c>
      <c r="B18" s="6" t="s">
        <v>49</v>
      </c>
      <c r="C18" s="6"/>
      <c r="D18" s="6"/>
      <c r="E18" s="6"/>
      <c r="F18" s="6"/>
      <c r="G18" s="6"/>
      <c r="H18" s="6"/>
      <c r="I18" s="6"/>
      <c r="J18" s="25" t="s">
        <v>29</v>
      </c>
    </row>
    <row r="19" spans="1:10" ht="48" customHeight="1" x14ac:dyDescent="0.2">
      <c r="A19" s="24" t="s">
        <v>50</v>
      </c>
      <c r="B19" s="6" t="s">
        <v>51</v>
      </c>
      <c r="C19" s="6"/>
      <c r="D19" s="6"/>
      <c r="E19" s="6"/>
      <c r="F19" s="6"/>
      <c r="G19" s="6"/>
      <c r="H19" s="6"/>
      <c r="I19" s="6"/>
      <c r="J19" s="25" t="s">
        <v>34</v>
      </c>
    </row>
    <row r="20" spans="1:10" ht="48" customHeight="1" x14ac:dyDescent="0.2">
      <c r="A20" s="24" t="s">
        <v>52</v>
      </c>
      <c r="B20" s="6" t="s">
        <v>53</v>
      </c>
      <c r="C20" s="6"/>
      <c r="D20" s="6"/>
      <c r="E20" s="6"/>
      <c r="F20" s="6"/>
      <c r="G20" s="6"/>
      <c r="H20" s="6"/>
      <c r="I20" s="6"/>
      <c r="J20" s="25" t="s">
        <v>37</v>
      </c>
    </row>
    <row r="21" spans="1:10" ht="48" customHeight="1" x14ac:dyDescent="0.2">
      <c r="A21" s="24" t="s">
        <v>54</v>
      </c>
      <c r="B21" s="6" t="s">
        <v>55</v>
      </c>
      <c r="C21" s="6"/>
      <c r="D21" s="6"/>
      <c r="E21" s="6"/>
      <c r="F21" s="6"/>
      <c r="G21" s="6"/>
      <c r="H21" s="6"/>
      <c r="I21" s="6"/>
      <c r="J21" s="25" t="s">
        <v>29</v>
      </c>
    </row>
    <row r="23" spans="1:10" ht="25.5" customHeight="1" x14ac:dyDescent="0.2">
      <c r="A23" s="7" t="s">
        <v>56</v>
      </c>
      <c r="B23" s="7"/>
      <c r="C23" s="7"/>
      <c r="D23" s="7"/>
      <c r="E23" s="7"/>
      <c r="F23" s="7"/>
      <c r="G23" s="7"/>
      <c r="H23" s="7"/>
      <c r="I23" s="7"/>
      <c r="J23" s="7"/>
    </row>
    <row r="24" spans="1:10" ht="48" customHeight="1" x14ac:dyDescent="0.2">
      <c r="A24" s="24" t="s">
        <v>57</v>
      </c>
      <c r="B24" s="6" t="s">
        <v>58</v>
      </c>
      <c r="C24" s="6"/>
      <c r="D24" s="6"/>
      <c r="E24" s="6"/>
      <c r="F24" s="6"/>
      <c r="G24" s="6"/>
      <c r="H24" s="6"/>
      <c r="I24" s="6"/>
      <c r="J24" s="25" t="s">
        <v>37</v>
      </c>
    </row>
    <row r="25" spans="1:10" ht="48" customHeight="1" x14ac:dyDescent="0.2">
      <c r="A25" s="24" t="s">
        <v>59</v>
      </c>
      <c r="B25" s="6" t="s">
        <v>60</v>
      </c>
      <c r="C25" s="6"/>
      <c r="D25" s="6"/>
      <c r="E25" s="6"/>
      <c r="F25" s="6"/>
      <c r="G25" s="6"/>
      <c r="H25" s="6"/>
      <c r="I25" s="6"/>
      <c r="J25" s="25" t="s">
        <v>34</v>
      </c>
    </row>
    <row r="26" spans="1:10" ht="48" customHeight="1" x14ac:dyDescent="0.2">
      <c r="A26" s="24" t="s">
        <v>61</v>
      </c>
      <c r="B26" s="6" t="s">
        <v>62</v>
      </c>
      <c r="C26" s="6"/>
      <c r="D26" s="6"/>
      <c r="E26" s="6"/>
      <c r="F26" s="6"/>
      <c r="G26" s="6"/>
      <c r="H26" s="6"/>
      <c r="I26" s="6"/>
      <c r="J26" s="25" t="s">
        <v>63</v>
      </c>
    </row>
  </sheetData>
  <mergeCells count="23">
    <mergeCell ref="B24:I24"/>
    <mergeCell ref="B25:I25"/>
    <mergeCell ref="B26:I26"/>
    <mergeCell ref="B18:I18"/>
    <mergeCell ref="B19:I19"/>
    <mergeCell ref="B20:I20"/>
    <mergeCell ref="B21:I21"/>
    <mergeCell ref="A23:J23"/>
    <mergeCell ref="B12:I12"/>
    <mergeCell ref="B13:I13"/>
    <mergeCell ref="B14:I14"/>
    <mergeCell ref="B15:I15"/>
    <mergeCell ref="A17:J17"/>
    <mergeCell ref="B7:I7"/>
    <mergeCell ref="B8:I8"/>
    <mergeCell ref="B9:I9"/>
    <mergeCell ref="B10:I10"/>
    <mergeCell ref="B11:I11"/>
    <mergeCell ref="A1:J1"/>
    <mergeCell ref="A2:J2"/>
    <mergeCell ref="A3:J3"/>
    <mergeCell ref="A5:J5"/>
    <mergeCell ref="B6:I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6"/>
  <sheetViews>
    <sheetView zoomScaleNormal="100" workbookViewId="0"/>
  </sheetViews>
  <sheetFormatPr defaultColWidth="8.7421875" defaultRowHeight="15" x14ac:dyDescent="0.2"/>
  <cols>
    <col min="1" max="1" width="36.05078125" style="15" customWidth="1"/>
    <col min="2" max="4" width="18.0234375" style="15" customWidth="1"/>
    <col min="5" max="5" width="13.98828125" style="15" customWidth="1"/>
    <col min="6" max="6" width="39.953125" style="15" customWidth="1"/>
    <col min="7" max="8" width="9.953125" style="15" customWidth="1"/>
  </cols>
  <sheetData>
    <row r="1" spans="1:16" ht="36" customHeight="1" x14ac:dyDescent="0.2">
      <c r="A1" s="5" t="s">
        <v>64</v>
      </c>
      <c r="B1" s="5"/>
      <c r="C1" s="5"/>
      <c r="D1" s="5"/>
      <c r="E1" s="5"/>
      <c r="F1" s="5"/>
      <c r="G1" s="5"/>
      <c r="H1" s="5"/>
      <c r="I1" s="5"/>
      <c r="J1" s="5"/>
      <c r="K1" s="5"/>
      <c r="L1" s="5"/>
      <c r="M1" s="5"/>
      <c r="N1" s="5"/>
      <c r="O1" s="5"/>
      <c r="P1" s="5"/>
    </row>
    <row r="2" spans="1:16" ht="15" customHeight="1" x14ac:dyDescent="0.2">
      <c r="A2" s="13" t="s">
        <v>65</v>
      </c>
      <c r="B2" s="13"/>
      <c r="C2" s="13"/>
      <c r="D2" s="13"/>
      <c r="E2" s="13"/>
      <c r="F2" s="13"/>
      <c r="G2" s="13"/>
      <c r="H2" s="13"/>
      <c r="I2" s="13"/>
      <c r="J2" s="13"/>
      <c r="K2" s="13"/>
      <c r="L2" s="13"/>
      <c r="M2" s="13"/>
      <c r="N2" s="13"/>
      <c r="O2" s="13"/>
      <c r="P2" s="13"/>
    </row>
    <row r="4" spans="1:16" ht="24" customHeight="1" x14ac:dyDescent="0.2">
      <c r="A4" s="4" t="s">
        <v>66</v>
      </c>
      <c r="B4" s="4"/>
      <c r="C4" s="4"/>
      <c r="D4" s="4"/>
      <c r="E4" s="4"/>
      <c r="F4" s="4"/>
      <c r="G4" s="4"/>
      <c r="H4" s="4"/>
    </row>
    <row r="5" spans="1:16" ht="21.75" customHeight="1" x14ac:dyDescent="0.2">
      <c r="A5" s="26" t="s">
        <v>3</v>
      </c>
      <c r="B5" s="26" t="s">
        <v>67</v>
      </c>
      <c r="C5" s="26" t="s">
        <v>68</v>
      </c>
      <c r="D5" s="26" t="s">
        <v>69</v>
      </c>
      <c r="E5" s="26" t="s">
        <v>70</v>
      </c>
    </row>
    <row r="6" spans="1:16" ht="15" customHeight="1" x14ac:dyDescent="0.2">
      <c r="A6" s="27">
        <v>2018</v>
      </c>
      <c r="B6" s="28">
        <f>'📊 Raw Dataset'!N6</f>
        <v>8260</v>
      </c>
      <c r="C6" s="29" t="s">
        <v>71</v>
      </c>
      <c r="D6" s="30" t="s">
        <v>72</v>
      </c>
      <c r="E6" s="31" t="s">
        <v>73</v>
      </c>
    </row>
    <row r="7" spans="1:16" ht="21.75" customHeight="1" x14ac:dyDescent="0.2">
      <c r="A7" s="32">
        <v>2019</v>
      </c>
      <c r="B7" s="33">
        <f>'📊 Raw Dataset'!N7</f>
        <v>8921</v>
      </c>
      <c r="C7" s="33">
        <f>B7-B6</f>
        <v>661</v>
      </c>
      <c r="D7" s="34">
        <f>(B7-B6)/B6</f>
        <v>8.0024213075060538E-2</v>
      </c>
      <c r="E7" s="35" t="s">
        <v>74</v>
      </c>
    </row>
    <row r="8" spans="1:16" ht="42.75" customHeight="1" x14ac:dyDescent="0.2">
      <c r="A8" s="36">
        <v>2020</v>
      </c>
      <c r="B8" s="37">
        <f>'📊 Raw Dataset'!N8</f>
        <v>4521</v>
      </c>
      <c r="C8" s="37">
        <f>B8-B7</f>
        <v>-4400</v>
      </c>
      <c r="D8" s="38">
        <f>(B8-B7)/B7</f>
        <v>-0.49321824907521578</v>
      </c>
      <c r="E8" s="39" t="s">
        <v>75</v>
      </c>
    </row>
    <row r="9" spans="1:16" ht="53.25" customHeight="1" x14ac:dyDescent="0.2">
      <c r="A9" s="36">
        <v>2021</v>
      </c>
      <c r="B9" s="37">
        <f>'📊 Raw Dataset'!N9</f>
        <v>4928</v>
      </c>
      <c r="C9" s="37">
        <f>B9-B8</f>
        <v>407</v>
      </c>
      <c r="D9" s="38">
        <f>(B9-B8)/B8</f>
        <v>9.002433090024331E-2</v>
      </c>
      <c r="E9" s="39" t="s">
        <v>76</v>
      </c>
    </row>
    <row r="10" spans="1:16" ht="42.75" customHeight="1" x14ac:dyDescent="0.2">
      <c r="A10" s="40">
        <v>2022</v>
      </c>
      <c r="B10" s="41">
        <f>'📊 Raw Dataset'!N10</f>
        <v>7545</v>
      </c>
      <c r="C10" s="41">
        <f>B10-B9</f>
        <v>2617</v>
      </c>
      <c r="D10" s="42">
        <f>(B10-B9)/B9</f>
        <v>0.53104707792207795</v>
      </c>
      <c r="E10" s="43" t="s">
        <v>77</v>
      </c>
    </row>
    <row r="11" spans="1:16" ht="42.75" customHeight="1" x14ac:dyDescent="0.2">
      <c r="A11" s="32">
        <v>2023</v>
      </c>
      <c r="B11" s="33">
        <f>'📊 Raw Dataset'!N11</f>
        <v>10510</v>
      </c>
      <c r="C11" s="33">
        <f>B11-B10</f>
        <v>2965</v>
      </c>
      <c r="D11" s="34">
        <f>(B11-B10)/B10</f>
        <v>0.39297548045062958</v>
      </c>
      <c r="E11" s="35" t="s">
        <v>78</v>
      </c>
    </row>
    <row r="12" spans="1:16" ht="42.75" customHeight="1" x14ac:dyDescent="0.2">
      <c r="A12" s="27">
        <v>2024</v>
      </c>
      <c r="B12" s="28">
        <f>'📊 Raw Dataset'!N12</f>
        <v>11410</v>
      </c>
      <c r="C12" s="28">
        <f>B12-B11</f>
        <v>900</v>
      </c>
      <c r="D12" s="44">
        <f>(B12-B11)/B11</f>
        <v>8.5632730732635581E-2</v>
      </c>
      <c r="E12" s="31" t="s">
        <v>79</v>
      </c>
    </row>
    <row r="13" spans="1:16" ht="32.25" customHeight="1" x14ac:dyDescent="0.2">
      <c r="A13" s="32">
        <v>2025</v>
      </c>
      <c r="B13" s="33">
        <f>'📊 Raw Dataset'!N13</f>
        <v>12375</v>
      </c>
      <c r="C13" s="33">
        <f>B13-B12</f>
        <v>965</v>
      </c>
      <c r="D13" s="34">
        <f>(B13-B12)/B12</f>
        <v>8.4574934268185797E-2</v>
      </c>
      <c r="E13" s="35" t="s">
        <v>80</v>
      </c>
    </row>
    <row r="15" spans="1:16" ht="24" customHeight="1" x14ac:dyDescent="0.2">
      <c r="A15" s="4" t="s">
        <v>81</v>
      </c>
      <c r="B15" s="4"/>
      <c r="C15" s="4"/>
      <c r="D15" s="4"/>
      <c r="E15" s="4"/>
      <c r="F15" s="4"/>
      <c r="G15" s="4"/>
      <c r="H15" s="4"/>
    </row>
    <row r="16" spans="1:16" ht="19.5" customHeight="1" x14ac:dyDescent="0.2">
      <c r="A16" s="26" t="s">
        <v>82</v>
      </c>
      <c r="B16" s="26" t="s">
        <v>83</v>
      </c>
      <c r="C16" s="26" t="s">
        <v>84</v>
      </c>
      <c r="D16" s="26" t="s">
        <v>85</v>
      </c>
      <c r="E16" s="26" t="s">
        <v>86</v>
      </c>
      <c r="F16" s="26" t="s">
        <v>87</v>
      </c>
    </row>
    <row r="17" spans="1:8" ht="36" customHeight="1" x14ac:dyDescent="0.2">
      <c r="A17" s="45" t="s">
        <v>88</v>
      </c>
      <c r="B17" s="46">
        <f>'📊 Raw Dataset'!N6</f>
        <v>8260</v>
      </c>
      <c r="C17" s="46">
        <f>'📊 Raw Dataset'!N13</f>
        <v>12375</v>
      </c>
      <c r="D17" s="47">
        <v>7</v>
      </c>
      <c r="E17" s="48">
        <f>(C17/B17)^(1/D17)-1</f>
        <v>5.9450663236421564E-2</v>
      </c>
      <c r="F17" s="49" t="s">
        <v>89</v>
      </c>
    </row>
    <row r="18" spans="1:8" ht="36" customHeight="1" x14ac:dyDescent="0.2">
      <c r="A18" s="45" t="s">
        <v>90</v>
      </c>
      <c r="B18" s="46">
        <f>'📊 Raw Dataset'!N6</f>
        <v>8260</v>
      </c>
      <c r="C18" s="46">
        <f>'📊 Raw Dataset'!N7</f>
        <v>8921</v>
      </c>
      <c r="D18" s="47">
        <v>1</v>
      </c>
      <c r="E18" s="48">
        <f>(C18/B18)^(1/D18)-1</f>
        <v>8.002421307506058E-2</v>
      </c>
      <c r="F18" s="49" t="s">
        <v>91</v>
      </c>
    </row>
    <row r="19" spans="1:8" ht="36" customHeight="1" x14ac:dyDescent="0.2">
      <c r="A19" s="45" t="s">
        <v>92</v>
      </c>
      <c r="B19" s="46">
        <f>'📊 Raw Dataset'!N9</f>
        <v>4928</v>
      </c>
      <c r="C19" s="46">
        <f>'📊 Raw Dataset'!N13</f>
        <v>12375</v>
      </c>
      <c r="D19" s="47">
        <v>3</v>
      </c>
      <c r="E19" s="48">
        <f>(C19/B19)^(1/D19)-1</f>
        <v>0.35922546625361518</v>
      </c>
      <c r="F19" s="49" t="s">
        <v>93</v>
      </c>
    </row>
    <row r="21" spans="1:8" ht="24" customHeight="1" x14ac:dyDescent="0.2">
      <c r="A21" s="4" t="s">
        <v>94</v>
      </c>
      <c r="B21" s="4"/>
      <c r="C21" s="4"/>
      <c r="D21" s="4"/>
      <c r="E21" s="4"/>
      <c r="F21" s="4"/>
      <c r="G21" s="4"/>
      <c r="H21" s="4"/>
    </row>
    <row r="22" spans="1:8" ht="19.5" customHeight="1" x14ac:dyDescent="0.2">
      <c r="A22" s="26" t="s">
        <v>82</v>
      </c>
      <c r="B22" s="26" t="s">
        <v>95</v>
      </c>
      <c r="C22" s="26" t="s">
        <v>96</v>
      </c>
      <c r="D22" s="26" t="s">
        <v>97</v>
      </c>
      <c r="E22" s="26" t="s">
        <v>98</v>
      </c>
      <c r="F22" s="26" t="s">
        <v>99</v>
      </c>
    </row>
    <row r="23" spans="1:8" ht="36" customHeight="1" x14ac:dyDescent="0.2">
      <c r="A23" s="45" t="s">
        <v>100</v>
      </c>
      <c r="B23" s="46">
        <f>SUM('📊 Raw Dataset'!E7:F7)</f>
        <v>1339</v>
      </c>
      <c r="C23" s="46">
        <f>SUM('📊 Raw Dataset'!E8:F8)</f>
        <v>215</v>
      </c>
      <c r="D23" s="50">
        <f>C23-B23</f>
        <v>-1124</v>
      </c>
      <c r="E23" s="51">
        <f>(C23-B23)/B23</f>
        <v>-0.83943241224794618</v>
      </c>
      <c r="F23" s="39" t="s">
        <v>101</v>
      </c>
    </row>
    <row r="24" spans="1:8" ht="36" customHeight="1" x14ac:dyDescent="0.2">
      <c r="A24" s="45" t="s">
        <v>102</v>
      </c>
      <c r="B24" s="46">
        <f>SUM('📊 Raw Dataset'!E7:F7)</f>
        <v>1339</v>
      </c>
      <c r="C24" s="46">
        <f>SUM('📊 Raw Dataset'!E9:F9)</f>
        <v>240</v>
      </c>
      <c r="D24" s="50">
        <f>C24-B24</f>
        <v>-1099</v>
      </c>
      <c r="E24" s="51">
        <f>(C24-B24)/B24</f>
        <v>-0.8207617625093353</v>
      </c>
      <c r="F24" s="39" t="s">
        <v>103</v>
      </c>
    </row>
    <row r="25" spans="1:8" ht="36" customHeight="1" x14ac:dyDescent="0.2">
      <c r="A25" s="45" t="s">
        <v>104</v>
      </c>
      <c r="B25" s="46">
        <f>'📊 Raw Dataset'!N7</f>
        <v>8921</v>
      </c>
      <c r="C25" s="46">
        <f>'📊 Raw Dataset'!N8</f>
        <v>4521</v>
      </c>
      <c r="D25" s="50">
        <f>C25-B25</f>
        <v>-4400</v>
      </c>
      <c r="E25" s="51">
        <f>(C25-B25)/B25</f>
        <v>-0.49321824907521578</v>
      </c>
      <c r="F25" s="39" t="s">
        <v>105</v>
      </c>
    </row>
    <row r="26" spans="1:8" ht="36" customHeight="1" x14ac:dyDescent="0.2">
      <c r="A26" s="45" t="s">
        <v>106</v>
      </c>
      <c r="B26" s="46">
        <f>'📊 Raw Dataset'!N7</f>
        <v>8921</v>
      </c>
      <c r="C26" s="46">
        <f>'📊 Raw Dataset'!N9</f>
        <v>4928</v>
      </c>
      <c r="D26" s="50">
        <f>C26-B26</f>
        <v>-3993</v>
      </c>
      <c r="E26" s="51">
        <f>(C26-B26)/B26</f>
        <v>-0.44759556103575832</v>
      </c>
      <c r="F26" s="39" t="s">
        <v>107</v>
      </c>
    </row>
    <row r="28" spans="1:8" ht="24" customHeight="1" x14ac:dyDescent="0.2">
      <c r="A28" s="4" t="s">
        <v>108</v>
      </c>
      <c r="B28" s="4"/>
      <c r="C28" s="4"/>
      <c r="D28" s="4"/>
      <c r="E28" s="4"/>
      <c r="F28" s="4"/>
      <c r="G28" s="4"/>
      <c r="H28" s="4"/>
    </row>
    <row r="29" spans="1:8" ht="19.5" customHeight="1" x14ac:dyDescent="0.2">
      <c r="A29" s="17" t="s">
        <v>109</v>
      </c>
      <c r="B29" s="17" t="s">
        <v>110</v>
      </c>
      <c r="C29" s="17" t="s">
        <v>87</v>
      </c>
    </row>
    <row r="30" spans="1:8" ht="15" customHeight="1" x14ac:dyDescent="0.2">
      <c r="A30" s="52" t="s">
        <v>111</v>
      </c>
      <c r="B30" s="46">
        <f>'📊 Raw Dataset'!N7</f>
        <v>8921</v>
      </c>
      <c r="C30" s="53" t="s">
        <v>112</v>
      </c>
    </row>
    <row r="31" spans="1:8" ht="15" customHeight="1" x14ac:dyDescent="0.2">
      <c r="A31" s="52" t="s">
        <v>113</v>
      </c>
      <c r="B31" s="46">
        <f>'📊 Raw Dataset'!N8</f>
        <v>4521</v>
      </c>
      <c r="C31" s="53" t="s">
        <v>114</v>
      </c>
    </row>
    <row r="32" spans="1:8" ht="15" customHeight="1" x14ac:dyDescent="0.2">
      <c r="A32" s="52" t="s">
        <v>115</v>
      </c>
      <c r="B32" s="48">
        <f>(B31-B30)/B30</f>
        <v>-0.49321824907521578</v>
      </c>
      <c r="C32" s="53" t="s">
        <v>116</v>
      </c>
    </row>
    <row r="33" spans="1:8" ht="15" customHeight="1" x14ac:dyDescent="0.2">
      <c r="A33" s="52" t="s">
        <v>117</v>
      </c>
      <c r="B33" s="46">
        <f>'📊 Raw Dataset'!N10</f>
        <v>7545</v>
      </c>
      <c r="C33" s="53" t="s">
        <v>118</v>
      </c>
    </row>
    <row r="34" spans="1:8" ht="15" customHeight="1" x14ac:dyDescent="0.2">
      <c r="A34" s="52" t="s">
        <v>119</v>
      </c>
      <c r="B34" s="46">
        <f>'📊 Raw Dataset'!N11</f>
        <v>10510</v>
      </c>
      <c r="C34" s="53" t="s">
        <v>120</v>
      </c>
    </row>
    <row r="35" spans="1:8" ht="15" customHeight="1" x14ac:dyDescent="0.2">
      <c r="A35" s="52" t="s">
        <v>121</v>
      </c>
      <c r="B35" s="54">
        <f>2023-2019</f>
        <v>4</v>
      </c>
      <c r="C35" s="53" t="s">
        <v>122</v>
      </c>
    </row>
    <row r="37" spans="1:8" ht="24" customHeight="1" x14ac:dyDescent="0.2">
      <c r="A37" s="4" t="s">
        <v>123</v>
      </c>
      <c r="B37" s="4"/>
      <c r="C37" s="4"/>
      <c r="D37" s="4"/>
      <c r="E37" s="4"/>
      <c r="F37" s="4"/>
      <c r="G37" s="4"/>
      <c r="H37" s="4"/>
    </row>
    <row r="38" spans="1:8" ht="21.75" customHeight="1" x14ac:dyDescent="0.2">
      <c r="A38" s="26" t="s">
        <v>3</v>
      </c>
      <c r="B38" s="26" t="s">
        <v>124</v>
      </c>
      <c r="C38" s="26" t="s">
        <v>125</v>
      </c>
      <c r="D38" s="26" t="s">
        <v>126</v>
      </c>
      <c r="E38" s="26" t="s">
        <v>127</v>
      </c>
      <c r="F38" s="26" t="s">
        <v>128</v>
      </c>
    </row>
    <row r="39" spans="1:8" ht="30" customHeight="1" x14ac:dyDescent="0.2">
      <c r="A39" s="32">
        <v>2018</v>
      </c>
      <c r="B39" s="55">
        <f>STDEV('📊 Raw Dataset'!B6:M6)</f>
        <v>126.0471292329929</v>
      </c>
      <c r="C39" s="56">
        <f>MIN('📊 Raw Dataset'!B6:M6)</f>
        <v>480</v>
      </c>
      <c r="D39" s="57">
        <f>MAX('📊 Raw Dataset'!B6:M6)</f>
        <v>920</v>
      </c>
      <c r="E39" s="33">
        <f>D39-C39</f>
        <v>440</v>
      </c>
      <c r="F39" s="35" t="s">
        <v>129</v>
      </c>
    </row>
    <row r="40" spans="1:8" ht="30" customHeight="1" x14ac:dyDescent="0.2">
      <c r="A40" s="27">
        <v>2019</v>
      </c>
      <c r="B40" s="58">
        <f>STDEV('📊 Raw Dataset'!B7:M7)</f>
        <v>136.21804601669373</v>
      </c>
      <c r="C40" s="59">
        <f>MIN('📊 Raw Dataset'!B7:M7)</f>
        <v>518</v>
      </c>
      <c r="D40" s="60">
        <f>MAX('📊 Raw Dataset'!B7:M7)</f>
        <v>994</v>
      </c>
      <c r="E40" s="28">
        <f>D40-C40</f>
        <v>476</v>
      </c>
      <c r="F40" s="31" t="s">
        <v>130</v>
      </c>
    </row>
    <row r="41" spans="1:8" ht="30" customHeight="1" x14ac:dyDescent="0.2">
      <c r="A41" s="36">
        <v>2020</v>
      </c>
      <c r="B41" s="61">
        <f>STDEV('📊 Raw Dataset'!B8:M8)</f>
        <v>159.05580781599897</v>
      </c>
      <c r="C41" s="62">
        <f>MIN('📊 Raw Dataset'!B8:M8)</f>
        <v>95</v>
      </c>
      <c r="D41" s="63">
        <f>MAX('📊 Raw Dataset'!B8:M8)</f>
        <v>558</v>
      </c>
      <c r="E41" s="37">
        <f>D41-C41</f>
        <v>463</v>
      </c>
      <c r="F41" s="39" t="s">
        <v>131</v>
      </c>
    </row>
    <row r="42" spans="1:8" ht="30" customHeight="1" x14ac:dyDescent="0.2">
      <c r="A42" s="36">
        <v>2021</v>
      </c>
      <c r="B42" s="61">
        <f>STDEV('📊 Raw Dataset'!B9:M9)</f>
        <v>184.47435561288157</v>
      </c>
      <c r="C42" s="62">
        <f>MIN('📊 Raw Dataset'!B9:M9)</f>
        <v>110</v>
      </c>
      <c r="D42" s="63">
        <f>MAX('📊 Raw Dataset'!B9:M9)</f>
        <v>710</v>
      </c>
      <c r="E42" s="37">
        <f>D42-C42</f>
        <v>600</v>
      </c>
      <c r="F42" s="39" t="s">
        <v>132</v>
      </c>
    </row>
    <row r="43" spans="1:8" ht="30" customHeight="1" x14ac:dyDescent="0.2">
      <c r="A43" s="40">
        <v>2022</v>
      </c>
      <c r="B43" s="64">
        <f>STDEV('📊 Raw Dataset'!B10:M10)</f>
        <v>180.2034834695086</v>
      </c>
      <c r="C43" s="65">
        <f>MIN('📊 Raw Dataset'!B10:M10)</f>
        <v>295</v>
      </c>
      <c r="D43" s="66">
        <f>MAX('📊 Raw Dataset'!B10:M10)</f>
        <v>910</v>
      </c>
      <c r="E43" s="41">
        <f>D43-C43</f>
        <v>615</v>
      </c>
      <c r="F43" s="43" t="s">
        <v>133</v>
      </c>
    </row>
    <row r="44" spans="1:8" ht="30" customHeight="1" x14ac:dyDescent="0.2">
      <c r="A44" s="27">
        <v>2023</v>
      </c>
      <c r="B44" s="58">
        <f>STDEV('📊 Raw Dataset'!B11:M11)</f>
        <v>150.9640735908761</v>
      </c>
      <c r="C44" s="59">
        <f>MIN('📊 Raw Dataset'!B11:M11)</f>
        <v>630</v>
      </c>
      <c r="D44" s="60">
        <f>MAX('📊 Raw Dataset'!B11:M11)</f>
        <v>1150</v>
      </c>
      <c r="E44" s="28">
        <f>D44-C44</f>
        <v>520</v>
      </c>
      <c r="F44" s="31" t="s">
        <v>134</v>
      </c>
    </row>
    <row r="45" spans="1:8" ht="30" customHeight="1" x14ac:dyDescent="0.2">
      <c r="A45" s="32">
        <v>2024</v>
      </c>
      <c r="B45" s="55">
        <f>STDEV('📊 Raw Dataset'!B12:M12)</f>
        <v>162.95333037034814</v>
      </c>
      <c r="C45" s="56">
        <f>MIN('📊 Raw Dataset'!B12:M12)</f>
        <v>690</v>
      </c>
      <c r="D45" s="57">
        <f>MAX('📊 Raw Dataset'!B12:M12)</f>
        <v>1250</v>
      </c>
      <c r="E45" s="33">
        <f>D45-C45</f>
        <v>560</v>
      </c>
      <c r="F45" s="35" t="s">
        <v>135</v>
      </c>
    </row>
    <row r="46" spans="1:8" ht="30" customHeight="1" x14ac:dyDescent="0.2">
      <c r="A46" s="27">
        <v>2025</v>
      </c>
      <c r="B46" s="58">
        <f>STDEV('📊 Raw Dataset'!B13:M13)</f>
        <v>174.07058390727073</v>
      </c>
      <c r="C46" s="59">
        <f>MIN('📊 Raw Dataset'!B13:M13)</f>
        <v>750</v>
      </c>
      <c r="D46" s="60">
        <f>MAX('📊 Raw Dataset'!B13:M13)</f>
        <v>1350</v>
      </c>
      <c r="E46" s="28">
        <f>D46-C46</f>
        <v>600</v>
      </c>
      <c r="F46" s="31" t="s">
        <v>136</v>
      </c>
    </row>
  </sheetData>
  <mergeCells count="7">
    <mergeCell ref="A28:H28"/>
    <mergeCell ref="A37:H37"/>
    <mergeCell ref="A1:P1"/>
    <mergeCell ref="A2:P2"/>
    <mergeCell ref="A4:H4"/>
    <mergeCell ref="A15:H15"/>
    <mergeCell ref="A21:H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
  <sheetViews>
    <sheetView zoomScaleNormal="100" workbookViewId="0"/>
  </sheetViews>
  <sheetFormatPr defaultColWidth="8.7421875" defaultRowHeight="15" x14ac:dyDescent="0.2"/>
  <cols>
    <col min="1" max="1" width="140.0390625" style="15" customWidth="1"/>
    <col min="2" max="9" width="4.9765625" style="15" customWidth="1"/>
  </cols>
  <sheetData>
    <row r="1" spans="1:9" ht="39.75" customHeight="1" x14ac:dyDescent="0.2">
      <c r="A1" s="14" t="s">
        <v>137</v>
      </c>
      <c r="B1" s="14"/>
      <c r="C1" s="14"/>
      <c r="D1" s="14"/>
      <c r="E1" s="14"/>
      <c r="F1" s="14"/>
      <c r="G1" s="14"/>
      <c r="H1" s="14"/>
      <c r="I1" s="14"/>
    </row>
    <row r="2" spans="1:9" ht="25.5" customHeight="1" x14ac:dyDescent="0.2">
      <c r="A2" s="3" t="s">
        <v>138</v>
      </c>
      <c r="B2" s="3"/>
      <c r="C2" s="3"/>
      <c r="D2" s="3"/>
      <c r="E2" s="3"/>
      <c r="F2" s="3"/>
      <c r="G2" s="3"/>
      <c r="H2" s="3"/>
      <c r="I2" s="3"/>
    </row>
    <row r="4" spans="1:9" ht="25.5" customHeight="1" x14ac:dyDescent="0.2">
      <c r="A4" s="7" t="s">
        <v>139</v>
      </c>
      <c r="B4" s="7"/>
      <c r="C4" s="7"/>
      <c r="D4" s="7"/>
      <c r="E4" s="7"/>
      <c r="F4" s="7"/>
      <c r="G4" s="7"/>
      <c r="H4" s="7"/>
      <c r="I4" s="7"/>
    </row>
    <row r="5" spans="1:9" ht="51.75" customHeight="1" x14ac:dyDescent="0.2">
      <c r="A5" s="2" t="s">
        <v>140</v>
      </c>
      <c r="B5" s="2"/>
      <c r="C5" s="2"/>
      <c r="D5" s="2"/>
      <c r="E5" s="2"/>
      <c r="F5" s="2"/>
      <c r="G5" s="2"/>
      <c r="H5" s="2"/>
      <c r="I5" s="2"/>
    </row>
    <row r="6" spans="1:9" ht="51.75" customHeight="1" x14ac:dyDescent="0.2">
      <c r="A6" s="1" t="s">
        <v>141</v>
      </c>
      <c r="B6" s="1"/>
      <c r="C6" s="1"/>
      <c r="D6" s="1"/>
      <c r="E6" s="1"/>
      <c r="F6" s="1"/>
      <c r="G6" s="1"/>
      <c r="H6" s="1"/>
      <c r="I6" s="1"/>
    </row>
    <row r="7" spans="1:9" ht="51.75" customHeight="1" x14ac:dyDescent="0.2">
      <c r="A7" s="2" t="s">
        <v>142</v>
      </c>
      <c r="B7" s="2"/>
      <c r="C7" s="2"/>
      <c r="D7" s="2"/>
      <c r="E7" s="2"/>
      <c r="F7" s="2"/>
      <c r="G7" s="2"/>
      <c r="H7" s="2"/>
      <c r="I7" s="2"/>
    </row>
    <row r="8" spans="1:9" ht="51.75" customHeight="1" x14ac:dyDescent="0.2">
      <c r="A8" s="1" t="s">
        <v>143</v>
      </c>
      <c r="B8" s="1"/>
      <c r="C8" s="1"/>
      <c r="D8" s="1"/>
      <c r="E8" s="1"/>
      <c r="F8" s="1"/>
      <c r="G8" s="1"/>
      <c r="H8" s="1"/>
      <c r="I8" s="1"/>
    </row>
    <row r="9" spans="1:9" ht="51.75" customHeight="1" x14ac:dyDescent="0.2">
      <c r="A9" s="2" t="s">
        <v>144</v>
      </c>
      <c r="B9" s="2"/>
      <c r="C9" s="2"/>
      <c r="D9" s="2"/>
      <c r="E9" s="2"/>
      <c r="F9" s="2"/>
      <c r="G9" s="2"/>
      <c r="H9" s="2"/>
      <c r="I9" s="2"/>
    </row>
    <row r="10" spans="1:9" ht="51.75" customHeight="1" x14ac:dyDescent="0.2">
      <c r="A10" s="1" t="s">
        <v>145</v>
      </c>
      <c r="B10" s="1"/>
      <c r="C10" s="1"/>
      <c r="D10" s="1"/>
      <c r="E10" s="1"/>
      <c r="F10" s="1"/>
      <c r="G10" s="1"/>
      <c r="H10" s="1"/>
      <c r="I10" s="1"/>
    </row>
    <row r="12" spans="1:9" ht="25.5" customHeight="1" x14ac:dyDescent="0.2">
      <c r="A12" s="7" t="s">
        <v>146</v>
      </c>
      <c r="B12" s="7"/>
      <c r="C12" s="7"/>
      <c r="D12" s="7"/>
      <c r="E12" s="7"/>
      <c r="F12" s="7"/>
      <c r="G12" s="7"/>
      <c r="H12" s="7"/>
      <c r="I12" s="7"/>
    </row>
    <row r="13" spans="1:9" ht="51.75" customHeight="1" x14ac:dyDescent="0.2">
      <c r="A13" s="2" t="s">
        <v>147</v>
      </c>
      <c r="B13" s="2"/>
      <c r="C13" s="2"/>
      <c r="D13" s="2"/>
      <c r="E13" s="2"/>
      <c r="F13" s="2"/>
      <c r="G13" s="2"/>
      <c r="H13" s="2"/>
      <c r="I13" s="2"/>
    </row>
    <row r="14" spans="1:9" ht="51.75" customHeight="1" x14ac:dyDescent="0.2">
      <c r="A14" s="1" t="s">
        <v>148</v>
      </c>
      <c r="B14" s="1"/>
      <c r="C14" s="1"/>
      <c r="D14" s="1"/>
      <c r="E14" s="1"/>
      <c r="F14" s="1"/>
      <c r="G14" s="1"/>
      <c r="H14" s="1"/>
      <c r="I14" s="1"/>
    </row>
    <row r="15" spans="1:9" ht="51.75" customHeight="1" x14ac:dyDescent="0.2">
      <c r="A15" s="2" t="s">
        <v>149</v>
      </c>
      <c r="B15" s="2"/>
      <c r="C15" s="2"/>
      <c r="D15" s="2"/>
      <c r="E15" s="2"/>
      <c r="F15" s="2"/>
      <c r="G15" s="2"/>
      <c r="H15" s="2"/>
      <c r="I15" s="2"/>
    </row>
    <row r="16" spans="1:9" ht="51.75" customHeight="1" x14ac:dyDescent="0.2">
      <c r="A16" s="1" t="s">
        <v>150</v>
      </c>
      <c r="B16" s="1"/>
      <c r="C16" s="1"/>
      <c r="D16" s="1"/>
      <c r="E16" s="1"/>
      <c r="F16" s="1"/>
      <c r="G16" s="1"/>
      <c r="H16" s="1"/>
      <c r="I16" s="1"/>
    </row>
    <row r="18" spans="1:9" ht="25.5" customHeight="1" x14ac:dyDescent="0.2">
      <c r="A18" s="7" t="s">
        <v>151</v>
      </c>
      <c r="B18" s="7"/>
      <c r="C18" s="7"/>
      <c r="D18" s="7"/>
      <c r="E18" s="7"/>
      <c r="F18" s="7"/>
      <c r="G18" s="7"/>
      <c r="H18" s="7"/>
      <c r="I18" s="7"/>
    </row>
    <row r="19" spans="1:9" ht="51.75" customHeight="1" x14ac:dyDescent="0.2">
      <c r="A19" s="2" t="s">
        <v>152</v>
      </c>
      <c r="B19" s="2"/>
      <c r="C19" s="2"/>
      <c r="D19" s="2"/>
      <c r="E19" s="2"/>
      <c r="F19" s="2"/>
      <c r="G19" s="2"/>
      <c r="H19" s="2"/>
      <c r="I19" s="2"/>
    </row>
    <row r="20" spans="1:9" ht="51.75" customHeight="1" x14ac:dyDescent="0.2">
      <c r="A20" s="1" t="s">
        <v>153</v>
      </c>
      <c r="B20" s="1"/>
      <c r="C20" s="1"/>
      <c r="D20" s="1"/>
      <c r="E20" s="1"/>
      <c r="F20" s="1"/>
      <c r="G20" s="1"/>
      <c r="H20" s="1"/>
      <c r="I20" s="1"/>
    </row>
    <row r="21" spans="1:9" ht="51.75" customHeight="1" x14ac:dyDescent="0.2">
      <c r="A21" s="2" t="s">
        <v>154</v>
      </c>
      <c r="B21" s="2"/>
      <c r="C21" s="2"/>
      <c r="D21" s="2"/>
      <c r="E21" s="2"/>
      <c r="F21" s="2"/>
      <c r="G21" s="2"/>
      <c r="H21" s="2"/>
      <c r="I21" s="2"/>
    </row>
    <row r="22" spans="1:9" ht="51.75" customHeight="1" x14ac:dyDescent="0.2">
      <c r="A22" s="1" t="s">
        <v>155</v>
      </c>
      <c r="B22" s="1"/>
      <c r="C22" s="1"/>
      <c r="D22" s="1"/>
      <c r="E22" s="1"/>
      <c r="F22" s="1"/>
      <c r="G22" s="1"/>
      <c r="H22" s="1"/>
      <c r="I22" s="1"/>
    </row>
    <row r="24" spans="1:9" ht="25.5" customHeight="1" x14ac:dyDescent="0.2">
      <c r="A24" s="7" t="s">
        <v>156</v>
      </c>
      <c r="B24" s="7"/>
      <c r="C24" s="7"/>
      <c r="D24" s="7"/>
      <c r="E24" s="7"/>
      <c r="F24" s="7"/>
      <c r="G24" s="7"/>
      <c r="H24" s="7"/>
      <c r="I24" s="7"/>
    </row>
    <row r="25" spans="1:9" ht="51.75" customHeight="1" x14ac:dyDescent="0.2">
      <c r="A25" s="2" t="s">
        <v>157</v>
      </c>
      <c r="B25" s="2"/>
      <c r="C25" s="2"/>
      <c r="D25" s="2"/>
      <c r="E25" s="2"/>
      <c r="F25" s="2"/>
      <c r="G25" s="2"/>
      <c r="H25" s="2"/>
      <c r="I25" s="2"/>
    </row>
    <row r="26" spans="1:9" ht="51.75" customHeight="1" x14ac:dyDescent="0.2">
      <c r="A26" s="1" t="s">
        <v>158</v>
      </c>
      <c r="B26" s="1"/>
      <c r="C26" s="1"/>
      <c r="D26" s="1"/>
      <c r="E26" s="1"/>
      <c r="F26" s="1"/>
      <c r="G26" s="1"/>
      <c r="H26" s="1"/>
      <c r="I26" s="1"/>
    </row>
    <row r="27" spans="1:9" ht="51.75" customHeight="1" x14ac:dyDescent="0.2">
      <c r="A27" s="2" t="s">
        <v>159</v>
      </c>
      <c r="B27" s="2"/>
      <c r="C27" s="2"/>
      <c r="D27" s="2"/>
      <c r="E27" s="2"/>
      <c r="F27" s="2"/>
      <c r="G27" s="2"/>
      <c r="H27" s="2"/>
      <c r="I27" s="2"/>
    </row>
    <row r="28" spans="1:9" ht="51.75" customHeight="1" x14ac:dyDescent="0.2">
      <c r="A28" s="1" t="s">
        <v>160</v>
      </c>
      <c r="B28" s="1"/>
      <c r="C28" s="1"/>
      <c r="D28" s="1"/>
      <c r="E28" s="1"/>
      <c r="F28" s="1"/>
      <c r="G28" s="1"/>
      <c r="H28" s="1"/>
      <c r="I28" s="1"/>
    </row>
    <row r="29" spans="1:9" ht="51.75" customHeight="1" x14ac:dyDescent="0.2">
      <c r="A29" s="2" t="s">
        <v>161</v>
      </c>
      <c r="B29" s="2"/>
      <c r="C29" s="2"/>
      <c r="D29" s="2"/>
      <c r="E29" s="2"/>
      <c r="F29" s="2"/>
      <c r="G29" s="2"/>
      <c r="H29" s="2"/>
      <c r="I29" s="2"/>
    </row>
    <row r="31" spans="1:9" ht="25.5" customHeight="1" x14ac:dyDescent="0.2">
      <c r="A31" s="7" t="s">
        <v>162</v>
      </c>
      <c r="B31" s="7"/>
      <c r="C31" s="7"/>
      <c r="D31" s="7"/>
      <c r="E31" s="7"/>
      <c r="F31" s="7"/>
      <c r="G31" s="7"/>
      <c r="H31" s="7"/>
      <c r="I31" s="7"/>
    </row>
    <row r="32" spans="1:9" ht="51.75" customHeight="1" x14ac:dyDescent="0.2">
      <c r="A32" s="1" t="s">
        <v>163</v>
      </c>
      <c r="B32" s="1"/>
      <c r="C32" s="1"/>
      <c r="D32" s="1"/>
      <c r="E32" s="1"/>
      <c r="F32" s="1"/>
      <c r="G32" s="1"/>
      <c r="H32" s="1"/>
      <c r="I32" s="1"/>
    </row>
    <row r="33" spans="1:9" ht="51.75" customHeight="1" x14ac:dyDescent="0.2">
      <c r="A33" s="2" t="s">
        <v>164</v>
      </c>
      <c r="B33" s="2"/>
      <c r="C33" s="2"/>
      <c r="D33" s="2"/>
      <c r="E33" s="2"/>
      <c r="F33" s="2"/>
      <c r="G33" s="2"/>
      <c r="H33" s="2"/>
      <c r="I33" s="2"/>
    </row>
    <row r="34" spans="1:9" ht="51.75" customHeight="1" x14ac:dyDescent="0.2">
      <c r="A34" s="1" t="s">
        <v>165</v>
      </c>
      <c r="B34" s="1"/>
      <c r="C34" s="1"/>
      <c r="D34" s="1"/>
      <c r="E34" s="1"/>
      <c r="F34" s="1"/>
      <c r="G34" s="1"/>
      <c r="H34" s="1"/>
      <c r="I34" s="1"/>
    </row>
    <row r="35" spans="1:9" ht="51.75" customHeight="1" x14ac:dyDescent="0.2">
      <c r="A35" s="2" t="s">
        <v>166</v>
      </c>
      <c r="B35" s="2"/>
      <c r="C35" s="2"/>
      <c r="D35" s="2"/>
      <c r="E35" s="2"/>
      <c r="F35" s="2"/>
      <c r="G35" s="2"/>
      <c r="H35" s="2"/>
      <c r="I35" s="2"/>
    </row>
    <row r="36" spans="1:9" ht="51.75" customHeight="1" x14ac:dyDescent="0.2">
      <c r="A36" s="1" t="s">
        <v>167</v>
      </c>
      <c r="B36" s="1"/>
      <c r="C36" s="1"/>
      <c r="D36" s="1"/>
      <c r="E36" s="1"/>
      <c r="F36" s="1"/>
      <c r="G36" s="1"/>
      <c r="H36" s="1"/>
      <c r="I36" s="1"/>
    </row>
    <row r="37" spans="1:9" ht="51.75" customHeight="1" x14ac:dyDescent="0.2">
      <c r="A37" s="2" t="s">
        <v>168</v>
      </c>
      <c r="B37" s="2"/>
      <c r="C37" s="2"/>
      <c r="D37" s="2"/>
      <c r="E37" s="2"/>
      <c r="F37" s="2"/>
      <c r="G37" s="2"/>
      <c r="H37" s="2"/>
      <c r="I37" s="2"/>
    </row>
  </sheetData>
  <mergeCells count="32">
    <mergeCell ref="A36:I36"/>
    <mergeCell ref="A37:I37"/>
    <mergeCell ref="A31:I31"/>
    <mergeCell ref="A32:I32"/>
    <mergeCell ref="A33:I33"/>
    <mergeCell ref="A34:I34"/>
    <mergeCell ref="A35:I35"/>
    <mergeCell ref="A25:I25"/>
    <mergeCell ref="A26:I26"/>
    <mergeCell ref="A27:I27"/>
    <mergeCell ref="A28:I28"/>
    <mergeCell ref="A29:I29"/>
    <mergeCell ref="A19:I19"/>
    <mergeCell ref="A20:I20"/>
    <mergeCell ref="A21:I21"/>
    <mergeCell ref="A22:I22"/>
    <mergeCell ref="A24:I24"/>
    <mergeCell ref="A13:I13"/>
    <mergeCell ref="A14:I14"/>
    <mergeCell ref="A15:I15"/>
    <mergeCell ref="A16:I16"/>
    <mergeCell ref="A18:I18"/>
    <mergeCell ref="A7:I7"/>
    <mergeCell ref="A8:I8"/>
    <mergeCell ref="A9:I9"/>
    <mergeCell ref="A10:I10"/>
    <mergeCell ref="A12:I12"/>
    <mergeCell ref="A1:I1"/>
    <mergeCell ref="A2:I2"/>
    <mergeCell ref="A4:I4"/>
    <mergeCell ref="A5:I5"/>
    <mergeCell ref="A6:I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
  <sheetViews>
    <sheetView zoomScaleNormal="100" workbookViewId="0"/>
  </sheetViews>
  <sheetFormatPr defaultColWidth="8.7421875" defaultRowHeight="15" x14ac:dyDescent="0.2"/>
  <cols>
    <col min="1" max="1" width="7.93359375" style="15" customWidth="1"/>
    <col min="2" max="2" width="23.9453125" style="15" customWidth="1"/>
    <col min="3" max="3" width="11.97265625" style="15" customWidth="1"/>
    <col min="4" max="4" width="41.96875" style="15" customWidth="1"/>
    <col min="5" max="5" width="29.99609375" style="15" customWidth="1"/>
    <col min="6" max="6" width="27.98046875" style="15" customWidth="1"/>
  </cols>
  <sheetData>
    <row r="1" spans="1:6" ht="36" customHeight="1" x14ac:dyDescent="0.2">
      <c r="A1" s="5" t="s">
        <v>169</v>
      </c>
      <c r="B1" s="5"/>
      <c r="C1" s="5"/>
      <c r="D1" s="5"/>
      <c r="E1" s="5"/>
      <c r="F1" s="5"/>
    </row>
    <row r="3" spans="1:6" ht="42" customHeight="1" x14ac:dyDescent="0.2">
      <c r="A3" s="16" t="s">
        <v>170</v>
      </c>
      <c r="B3" s="16" t="s">
        <v>171</v>
      </c>
      <c r="C3" s="16" t="s">
        <v>172</v>
      </c>
      <c r="D3" s="67" t="s">
        <v>173</v>
      </c>
      <c r="E3" s="67" t="s">
        <v>174</v>
      </c>
      <c r="F3" s="67" t="s">
        <v>175</v>
      </c>
    </row>
    <row r="4" spans="1:6" ht="42" customHeight="1" x14ac:dyDescent="0.2">
      <c r="A4" s="68" t="s">
        <v>176</v>
      </c>
      <c r="B4" s="68" t="s">
        <v>177</v>
      </c>
      <c r="C4" s="68">
        <v>8</v>
      </c>
      <c r="D4" s="69" t="s">
        <v>178</v>
      </c>
      <c r="E4" s="69" t="s">
        <v>179</v>
      </c>
      <c r="F4" s="69" t="s">
        <v>180</v>
      </c>
    </row>
    <row r="5" spans="1:6" ht="42" customHeight="1" x14ac:dyDescent="0.2">
      <c r="A5" s="70" t="s">
        <v>181</v>
      </c>
      <c r="B5" s="70" t="s">
        <v>182</v>
      </c>
      <c r="C5" s="70">
        <v>8</v>
      </c>
      <c r="D5" s="71" t="s">
        <v>183</v>
      </c>
      <c r="E5" s="71" t="s">
        <v>184</v>
      </c>
      <c r="F5" s="71" t="s">
        <v>185</v>
      </c>
    </row>
    <row r="6" spans="1:6" ht="42" customHeight="1" x14ac:dyDescent="0.2">
      <c r="A6" s="68" t="s">
        <v>186</v>
      </c>
      <c r="B6" s="68" t="s">
        <v>187</v>
      </c>
      <c r="C6" s="68">
        <v>7</v>
      </c>
      <c r="D6" s="69" t="s">
        <v>188</v>
      </c>
      <c r="E6" s="69" t="s">
        <v>189</v>
      </c>
      <c r="F6" s="69" t="s">
        <v>190</v>
      </c>
    </row>
    <row r="7" spans="1:6" ht="42" customHeight="1" x14ac:dyDescent="0.2">
      <c r="A7" s="70" t="s">
        <v>191</v>
      </c>
      <c r="B7" s="70" t="s">
        <v>192</v>
      </c>
      <c r="C7" s="70">
        <v>7</v>
      </c>
      <c r="D7" s="71" t="s">
        <v>193</v>
      </c>
      <c r="E7" s="71" t="s">
        <v>194</v>
      </c>
      <c r="F7" s="71" t="s">
        <v>195</v>
      </c>
    </row>
    <row r="8" spans="1:6" ht="42" customHeight="1" x14ac:dyDescent="0.2">
      <c r="A8" s="70" t="s">
        <v>196</v>
      </c>
      <c r="B8" s="70" t="s">
        <v>197</v>
      </c>
      <c r="C8" s="70">
        <v>6</v>
      </c>
      <c r="D8" s="71" t="s">
        <v>198</v>
      </c>
      <c r="E8" s="71" t="s">
        <v>199</v>
      </c>
      <c r="F8" s="71" t="s">
        <v>200</v>
      </c>
    </row>
    <row r="9" spans="1:6" ht="42" customHeight="1" x14ac:dyDescent="0.2">
      <c r="A9" s="70" t="s">
        <v>201</v>
      </c>
      <c r="B9" s="70" t="s">
        <v>202</v>
      </c>
      <c r="C9" s="70">
        <v>5</v>
      </c>
      <c r="D9" s="71" t="s">
        <v>203</v>
      </c>
      <c r="E9" s="71" t="s">
        <v>204</v>
      </c>
      <c r="F9" s="71" t="s">
        <v>205</v>
      </c>
    </row>
    <row r="10" spans="1:6" ht="42" customHeight="1" x14ac:dyDescent="0.2">
      <c r="A10" s="70" t="s">
        <v>206</v>
      </c>
      <c r="B10" s="70" t="s">
        <v>207</v>
      </c>
      <c r="C10" s="70">
        <v>6</v>
      </c>
      <c r="D10" s="71" t="s">
        <v>208</v>
      </c>
      <c r="E10" s="71" t="s">
        <v>209</v>
      </c>
      <c r="F10" s="71" t="s">
        <v>210</v>
      </c>
    </row>
    <row r="11" spans="1:6" ht="42" customHeight="1" x14ac:dyDescent="0.2">
      <c r="A11" s="70" t="s">
        <v>211</v>
      </c>
      <c r="B11" s="70" t="s">
        <v>212</v>
      </c>
      <c r="C11" s="70">
        <v>5</v>
      </c>
      <c r="D11" s="71" t="s">
        <v>213</v>
      </c>
      <c r="E11" s="71" t="s">
        <v>214</v>
      </c>
      <c r="F11" s="71" t="s">
        <v>215</v>
      </c>
    </row>
    <row r="12" spans="1:6" ht="42" customHeight="1" x14ac:dyDescent="0.2">
      <c r="A12" s="68" t="s">
        <v>216</v>
      </c>
      <c r="B12" s="68" t="s">
        <v>217</v>
      </c>
      <c r="C12" s="68">
        <v>5</v>
      </c>
      <c r="D12" s="69" t="s">
        <v>218</v>
      </c>
      <c r="E12" s="69" t="s">
        <v>219</v>
      </c>
      <c r="F12" s="69" t="s">
        <v>220</v>
      </c>
    </row>
    <row r="13" spans="1:6" ht="42" customHeight="1" x14ac:dyDescent="0.2">
      <c r="A13" s="72" t="s">
        <v>221</v>
      </c>
      <c r="B13" s="72" t="s">
        <v>222</v>
      </c>
      <c r="C13" s="72">
        <v>3</v>
      </c>
      <c r="D13" s="73" t="s">
        <v>223</v>
      </c>
      <c r="E13" s="73" t="s">
        <v>224</v>
      </c>
      <c r="F13" s="73" t="s">
        <v>225</v>
      </c>
    </row>
    <row r="14" spans="1:6" ht="42" customHeight="1" x14ac:dyDescent="0.2">
      <c r="A14" s="68" t="s">
        <v>226</v>
      </c>
      <c r="B14" s="68" t="s">
        <v>227</v>
      </c>
      <c r="C14" s="68">
        <v>7</v>
      </c>
      <c r="D14" s="69" t="s">
        <v>228</v>
      </c>
      <c r="E14" s="69" t="s">
        <v>229</v>
      </c>
      <c r="F14" s="69" t="s">
        <v>230</v>
      </c>
    </row>
    <row r="15" spans="1:6" ht="42" customHeight="1" x14ac:dyDescent="0.2">
      <c r="A15" s="72" t="s">
        <v>231</v>
      </c>
      <c r="B15" s="72" t="s">
        <v>232</v>
      </c>
      <c r="C15" s="72">
        <v>6</v>
      </c>
      <c r="D15" s="73" t="s">
        <v>233</v>
      </c>
      <c r="E15" s="73" t="s">
        <v>234</v>
      </c>
      <c r="F15" s="73" t="s">
        <v>235</v>
      </c>
    </row>
    <row r="16" spans="1:6" ht="42" customHeight="1" x14ac:dyDescent="0.2">
      <c r="A16" s="68" t="s">
        <v>236</v>
      </c>
      <c r="B16" s="68" t="s">
        <v>237</v>
      </c>
      <c r="C16" s="68">
        <v>5</v>
      </c>
      <c r="D16" s="69" t="s">
        <v>238</v>
      </c>
      <c r="E16" s="69" t="s">
        <v>239</v>
      </c>
      <c r="F16" s="69" t="s">
        <v>240</v>
      </c>
    </row>
    <row r="17" spans="1:6" ht="42" customHeight="1" x14ac:dyDescent="0.2">
      <c r="A17" s="72" t="s">
        <v>241</v>
      </c>
      <c r="B17" s="72" t="s">
        <v>242</v>
      </c>
      <c r="C17" s="72">
        <v>7</v>
      </c>
      <c r="D17" s="73" t="s">
        <v>243</v>
      </c>
      <c r="E17" s="73" t="s">
        <v>244</v>
      </c>
      <c r="F17" s="73" t="s">
        <v>245</v>
      </c>
    </row>
    <row r="18" spans="1:6" ht="42" customHeight="1" x14ac:dyDescent="0.2">
      <c r="A18" s="68" t="s">
        <v>246</v>
      </c>
      <c r="B18" s="68" t="s">
        <v>247</v>
      </c>
      <c r="C18" s="68">
        <v>5</v>
      </c>
      <c r="D18" s="69" t="s">
        <v>248</v>
      </c>
      <c r="E18" s="69" t="s">
        <v>249</v>
      </c>
      <c r="F18" s="69" t="s">
        <v>250</v>
      </c>
    </row>
    <row r="19" spans="1:6" ht="42" customHeight="1" x14ac:dyDescent="0.2">
      <c r="A19" s="72" t="s">
        <v>251</v>
      </c>
      <c r="B19" s="72" t="s">
        <v>252</v>
      </c>
      <c r="C19" s="72">
        <v>6</v>
      </c>
      <c r="D19" s="73" t="s">
        <v>253</v>
      </c>
      <c r="E19" s="73" t="s">
        <v>254</v>
      </c>
      <c r="F19" s="73" t="s">
        <v>255</v>
      </c>
    </row>
    <row r="20" spans="1:6" ht="42" customHeight="1" x14ac:dyDescent="0.2">
      <c r="A20" s="68" t="s">
        <v>256</v>
      </c>
      <c r="B20" s="68" t="s">
        <v>257</v>
      </c>
      <c r="C20" s="68">
        <v>4</v>
      </c>
      <c r="D20" s="69" t="s">
        <v>258</v>
      </c>
      <c r="E20" s="69" t="s">
        <v>259</v>
      </c>
      <c r="F20" s="69" t="s">
        <v>260</v>
      </c>
    </row>
  </sheetData>
  <mergeCells count="1">
    <mergeCell ref="A1:F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5</vt:i4>
      </vt:variant>
    </vt:vector>
  </HeadingPairs>
  <TitlesOfParts>
    <vt:vector size="5" baseType="lpstr">
      <vt:lpstr>📊 Raw Dataset</vt:lpstr>
      <vt:lpstr>📝 Question Paper</vt:lpstr>
      <vt:lpstr>✍ Answer Sheet</vt:lpstr>
      <vt:lpstr>📋 Qualitative Analysis</vt:lpstr>
      <vt:lpstr>🎯 Marking Scheme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2026-06-20T11:07:24Z</dcterms:created>
  <dcterms:modified xsi:type="dcterms:W3CDTF">2026-06-20T11:07:42Z</dcterms:modified>
  <dc:language>en-US</dc:language>
</cp:coreProperties>
</file>